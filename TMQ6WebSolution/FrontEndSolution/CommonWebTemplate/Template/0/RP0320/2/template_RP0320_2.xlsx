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160404\TMQ\Dev\FrontEndSolution\CommonWebTemplate\Template\0\RP0320\2\"/>
    </mc:Choice>
  </mc:AlternateContent>
  <xr:revisionPtr revIDLastSave="0" documentId="13_ncr:1_{C82078A8-D630-4574-BECE-6FB3579E9F57}" xr6:coauthVersionLast="47" xr6:coauthVersionMax="47" xr10:uidLastSave="{00000000-0000-0000-0000-000000000000}"/>
  <bookViews>
    <workbookView xWindow="28680" yWindow="-120" windowWidth="29040" windowHeight="15840" xr2:uid="{0181667D-14DB-4FBF-B90A-45278C955FF3}"/>
  </bookViews>
  <sheets>
    <sheet name="月報" sheetId="1" r:id="rId1"/>
    <sheet name="期報" sheetId="4" r:id="rId2"/>
    <sheet name="年報" sheetId="3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111" hidden="1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'[3]項目一覧(SAP版)'!$B$64:$B$162</definedName>
    <definedName name="_xlnm._FilterDatabase" hidden="1">'[4]１．InfoCube (YKCH0010)案１:１．InfoCube (YKCH0010) 案２'!$W$5:$W$5</definedName>
    <definedName name="_Key1" hidden="1">[2]会社情報!#REF!</definedName>
    <definedName name="_key2" hidden="1">[2]会社情報!#REF!</definedName>
    <definedName name="_Order1" hidden="1">255</definedName>
    <definedName name="_Regression_X" hidden="1">#REF!</definedName>
    <definedName name="_Sort" hidden="1">[2]会社情報!#REF!</definedName>
    <definedName name="a" hidden="1">#REF!</definedName>
    <definedName name="aa" hidden="1">#REF!</definedName>
    <definedName name="ａａａ" hidden="1">#REF!</definedName>
    <definedName name="aaaa" hidden="1">#REF!</definedName>
    <definedName name="Access_Button" hidden="1">"障害DB_DB_List"</definedName>
    <definedName name="AccessDatabase" hidden="1">"C:\WINNT\Profiles\kawamura\ﾃﾞｽｸﾄｯﾌﾟ\課題事項\障害DB.mdb"</definedName>
    <definedName name="ｄｄ" hidden="1">[5]温洗・乾燥!#REF!</definedName>
    <definedName name="ddc" hidden="1">{"'フローチャート'!$A$1:$AO$191"}</definedName>
    <definedName name="ddcdc" hidden="1">{"'フローチャート'!$A$1:$AO$191"}</definedName>
    <definedName name="ddd" hidden="1">{"'フローチャート'!$A$1:$AO$191"}</definedName>
    <definedName name="dddf" hidden="1">{"'フローチャート'!$A$1:$AO$191"}</definedName>
    <definedName name="dummy" hidden="1">'[3]項目一覧(SAP版)'!$B$64:$B$162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ｆ" hidden="1">{"'フローチャート'!$A$1:$AO$191"}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ＫＫ" hidden="1">{"'フローチャート'!$A$1:$AO$191"}</definedName>
    <definedName name="ｌｌ" hidden="1">#REF!</definedName>
    <definedName name="lll" hidden="1">#REF!</definedName>
    <definedName name="ｑｑｑ" hidden="1">#REF!</definedName>
    <definedName name="SAPBEXrevision" hidden="1">2</definedName>
    <definedName name="SAPBEXsysID" hidden="1">"A09"</definedName>
    <definedName name="SAPBEXwbID" hidden="1">"3M9IWTQYWRNK7J4T9F2UVKEVR"</definedName>
    <definedName name="SD" hidden="1">#REF!</definedName>
    <definedName name="ssssssss" hidden="1">{"'フローチャート'!$A$1:$AO$191"}</definedName>
    <definedName name="ssssssssss" hidden="1">{"'フローチャート'!$A$1:$AO$191"}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あ" hidden="1">'[3]項目一覧(SAP版)'!$B$64:$B$162</definedName>
    <definedName name="あｑ" hidden="1">#REF!</definedName>
    <definedName name="安藤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N10" i="3" l="1"/>
  <c r="BI10" i="3"/>
  <c r="BD10" i="3"/>
  <c r="AY10" i="3"/>
  <c r="AT10" i="3"/>
  <c r="AO10" i="3"/>
  <c r="AJ10" i="3"/>
  <c r="AE10" i="3"/>
  <c r="Z10" i="3"/>
  <c r="U10" i="3"/>
  <c r="P10" i="3"/>
  <c r="K10" i="3"/>
  <c r="J2" i="3" l="1"/>
  <c r="BT7" i="3"/>
  <c r="BT6" i="3"/>
  <c r="BT5" i="3"/>
  <c r="BT4" i="3"/>
  <c r="AP8" i="4"/>
  <c r="AP7" i="4"/>
  <c r="AP6" i="4"/>
  <c r="AP5" i="4"/>
  <c r="AJ10" i="4"/>
  <c r="AE10" i="4"/>
  <c r="Z10" i="4"/>
  <c r="U10" i="4"/>
  <c r="P10" i="4"/>
  <c r="K10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2" i="4"/>
  <c r="AS66" i="4"/>
  <c r="AR66" i="4"/>
  <c r="AQ66" i="4"/>
  <c r="AP66" i="4"/>
  <c r="AO66" i="4"/>
  <c r="AS64" i="4"/>
  <c r="AR64" i="4"/>
  <c r="AQ64" i="4"/>
  <c r="AP64" i="4"/>
  <c r="AO64" i="4"/>
  <c r="AS62" i="4"/>
  <c r="AR62" i="4"/>
  <c r="AQ62" i="4"/>
  <c r="AP62" i="4"/>
  <c r="AO62" i="4"/>
  <c r="AS60" i="4"/>
  <c r="AR60" i="4"/>
  <c r="AQ60" i="4"/>
  <c r="AP60" i="4"/>
  <c r="AO60" i="4"/>
  <c r="AS58" i="4"/>
  <c r="AR58" i="4"/>
  <c r="AQ58" i="4"/>
  <c r="AP58" i="4"/>
  <c r="AO58" i="4"/>
  <c r="AS56" i="4"/>
  <c r="AR56" i="4"/>
  <c r="AQ56" i="4"/>
  <c r="AP56" i="4"/>
  <c r="AO56" i="4"/>
  <c r="AS54" i="4"/>
  <c r="AR54" i="4"/>
  <c r="AQ54" i="4"/>
  <c r="AP54" i="4"/>
  <c r="AO54" i="4"/>
  <c r="AS52" i="4"/>
  <c r="AR52" i="4"/>
  <c r="AQ52" i="4"/>
  <c r="AP52" i="4"/>
  <c r="AO52" i="4"/>
  <c r="AS50" i="4"/>
  <c r="AR50" i="4"/>
  <c r="AQ50" i="4"/>
  <c r="AP50" i="4"/>
  <c r="AO50" i="4"/>
  <c r="AS48" i="4"/>
  <c r="AR48" i="4"/>
  <c r="AQ48" i="4"/>
  <c r="AP48" i="4"/>
  <c r="AO48" i="4"/>
  <c r="AS46" i="4"/>
  <c r="AR46" i="4"/>
  <c r="AQ46" i="4"/>
  <c r="AP46" i="4"/>
  <c r="AO46" i="4"/>
  <c r="AS44" i="4"/>
  <c r="AR44" i="4"/>
  <c r="AQ44" i="4"/>
  <c r="AP44" i="4"/>
  <c r="AO44" i="4"/>
  <c r="AS42" i="4"/>
  <c r="AR42" i="4"/>
  <c r="AQ42" i="4"/>
  <c r="AP42" i="4"/>
  <c r="AO42" i="4"/>
  <c r="AS40" i="4"/>
  <c r="AR40" i="4"/>
  <c r="AQ40" i="4"/>
  <c r="AP40" i="4"/>
  <c r="AO40" i="4"/>
  <c r="AS38" i="4"/>
  <c r="AR38" i="4"/>
  <c r="AQ38" i="4"/>
  <c r="AP38" i="4"/>
  <c r="AO38" i="4"/>
  <c r="AS36" i="4"/>
  <c r="AR36" i="4"/>
  <c r="AQ36" i="4"/>
  <c r="AP36" i="4"/>
  <c r="AO36" i="4"/>
  <c r="AS34" i="4"/>
  <c r="AR34" i="4"/>
  <c r="AQ34" i="4"/>
  <c r="AP34" i="4"/>
  <c r="AO34" i="4"/>
  <c r="AS32" i="4"/>
  <c r="AR32" i="4"/>
  <c r="AQ32" i="4"/>
  <c r="AP32" i="4"/>
  <c r="AO32" i="4"/>
  <c r="AS30" i="4"/>
  <c r="AR30" i="4"/>
  <c r="AQ30" i="4"/>
  <c r="AP30" i="4"/>
  <c r="AO30" i="4"/>
  <c r="AS28" i="4"/>
  <c r="AR28" i="4"/>
  <c r="AQ28" i="4"/>
  <c r="AP28" i="4"/>
  <c r="AO28" i="4"/>
  <c r="AS26" i="4"/>
  <c r="AR26" i="4"/>
  <c r="AQ26" i="4"/>
  <c r="AP26" i="4"/>
  <c r="AO26" i="4"/>
  <c r="AS24" i="4"/>
  <c r="AR24" i="4"/>
  <c r="AQ24" i="4"/>
  <c r="AP24" i="4"/>
  <c r="AO24" i="4"/>
  <c r="AS22" i="4"/>
  <c r="AR22" i="4"/>
  <c r="AQ22" i="4"/>
  <c r="AP22" i="4"/>
  <c r="AO22" i="4"/>
  <c r="AS20" i="4"/>
  <c r="AR20" i="4"/>
  <c r="AQ20" i="4"/>
  <c r="AP20" i="4"/>
  <c r="AO20" i="4"/>
  <c r="AS18" i="4"/>
  <c r="AR18" i="4"/>
  <c r="AQ18" i="4"/>
  <c r="AP18" i="4"/>
  <c r="AO18" i="4"/>
  <c r="AS16" i="4"/>
  <c r="AR16" i="4"/>
  <c r="AQ16" i="4"/>
  <c r="AP16" i="4"/>
  <c r="AO16" i="4"/>
  <c r="AS14" i="4"/>
  <c r="AR14" i="4"/>
  <c r="AQ14" i="4"/>
  <c r="AP14" i="4"/>
  <c r="AO14" i="4"/>
  <c r="AS12" i="4"/>
  <c r="AR12" i="4"/>
  <c r="AQ12" i="4"/>
  <c r="AP12" i="4"/>
  <c r="AO12" i="4"/>
  <c r="BW66" i="3"/>
  <c r="BV66" i="3"/>
  <c r="BU66" i="3"/>
  <c r="BT66" i="3"/>
  <c r="BS66" i="3"/>
  <c r="BW64" i="3"/>
  <c r="BV64" i="3"/>
  <c r="BU64" i="3"/>
  <c r="BT64" i="3"/>
  <c r="BS64" i="3"/>
  <c r="BW62" i="3"/>
  <c r="BV62" i="3"/>
  <c r="BU62" i="3"/>
  <c r="BT62" i="3"/>
  <c r="BS62" i="3"/>
  <c r="BW60" i="3"/>
  <c r="BV60" i="3"/>
  <c r="BU60" i="3"/>
  <c r="BT60" i="3"/>
  <c r="BS60" i="3"/>
  <c r="BW58" i="3"/>
  <c r="BV58" i="3"/>
  <c r="BU58" i="3"/>
  <c r="BT58" i="3"/>
  <c r="BS58" i="3"/>
  <c r="BW56" i="3"/>
  <c r="BV56" i="3"/>
  <c r="BU56" i="3"/>
  <c r="BT56" i="3"/>
  <c r="BS56" i="3"/>
  <c r="BW54" i="3"/>
  <c r="BV54" i="3"/>
  <c r="BU54" i="3"/>
  <c r="BT54" i="3"/>
  <c r="BS54" i="3"/>
  <c r="BW52" i="3"/>
  <c r="BV52" i="3"/>
  <c r="BU52" i="3"/>
  <c r="BT52" i="3"/>
  <c r="BS52" i="3"/>
  <c r="BW50" i="3"/>
  <c r="BV50" i="3"/>
  <c r="BU50" i="3"/>
  <c r="BT50" i="3"/>
  <c r="BS50" i="3"/>
  <c r="BW48" i="3"/>
  <c r="BV48" i="3"/>
  <c r="BU48" i="3"/>
  <c r="BT48" i="3"/>
  <c r="BS48" i="3"/>
  <c r="BW46" i="3"/>
  <c r="BV46" i="3"/>
  <c r="BU46" i="3"/>
  <c r="BT46" i="3"/>
  <c r="BS46" i="3"/>
  <c r="BW44" i="3"/>
  <c r="BV44" i="3"/>
  <c r="BU44" i="3"/>
  <c r="BT44" i="3"/>
  <c r="BS44" i="3"/>
  <c r="BW42" i="3"/>
  <c r="BV42" i="3"/>
  <c r="BU42" i="3"/>
  <c r="BT42" i="3"/>
  <c r="BS42" i="3"/>
  <c r="BW40" i="3"/>
  <c r="BV40" i="3"/>
  <c r="BU40" i="3"/>
  <c r="BT40" i="3"/>
  <c r="BS40" i="3"/>
  <c r="BW38" i="3"/>
  <c r="BV38" i="3"/>
  <c r="BU38" i="3"/>
  <c r="BT38" i="3"/>
  <c r="BS38" i="3"/>
  <c r="BW36" i="3"/>
  <c r="BV36" i="3"/>
  <c r="BU36" i="3"/>
  <c r="BT36" i="3"/>
  <c r="BS36" i="3"/>
  <c r="BW34" i="3"/>
  <c r="BV34" i="3"/>
  <c r="BU34" i="3"/>
  <c r="BT34" i="3"/>
  <c r="BS34" i="3"/>
  <c r="BW32" i="3"/>
  <c r="BV32" i="3"/>
  <c r="BU32" i="3"/>
  <c r="BT32" i="3"/>
  <c r="BS32" i="3"/>
  <c r="BW30" i="3"/>
  <c r="BV30" i="3"/>
  <c r="BU30" i="3"/>
  <c r="BT30" i="3"/>
  <c r="BS30" i="3"/>
  <c r="BW28" i="3"/>
  <c r="BV28" i="3"/>
  <c r="BU28" i="3"/>
  <c r="BT28" i="3"/>
  <c r="BS28" i="3"/>
  <c r="BW26" i="3"/>
  <c r="BV26" i="3"/>
  <c r="BU26" i="3"/>
  <c r="BT26" i="3"/>
  <c r="BS26" i="3"/>
  <c r="BW24" i="3"/>
  <c r="BV24" i="3"/>
  <c r="BU24" i="3"/>
  <c r="BT24" i="3"/>
  <c r="BS24" i="3"/>
  <c r="BW22" i="3"/>
  <c r="BV22" i="3"/>
  <c r="BU22" i="3"/>
  <c r="BT22" i="3"/>
  <c r="BS22" i="3"/>
  <c r="BW20" i="3"/>
  <c r="BV20" i="3"/>
  <c r="BU20" i="3"/>
  <c r="BT20" i="3"/>
  <c r="BS20" i="3"/>
  <c r="BW18" i="3"/>
  <c r="BV18" i="3"/>
  <c r="BU18" i="3"/>
  <c r="BT18" i="3"/>
  <c r="BS18" i="3"/>
  <c r="BW16" i="3"/>
  <c r="BV16" i="3"/>
  <c r="BU16" i="3"/>
  <c r="BT16" i="3"/>
  <c r="BS16" i="3"/>
  <c r="BW14" i="3"/>
  <c r="BV14" i="3"/>
  <c r="BU14" i="3"/>
  <c r="BT14" i="3"/>
  <c r="BS14" i="3"/>
  <c r="BW12" i="3"/>
  <c r="BV12" i="3"/>
  <c r="BU12" i="3"/>
  <c r="BT12" i="3"/>
  <c r="BS12" i="3"/>
  <c r="K2" i="1" l="1"/>
  <c r="J8" i="1"/>
  <c r="H8" i="1"/>
  <c r="D7" i="1"/>
  <c r="L8" i="1"/>
  <c r="L9" i="1"/>
  <c r="L7" i="1"/>
  <c r="J9" i="1"/>
  <c r="H9" i="1"/>
  <c r="F7" i="1"/>
  <c r="E9" i="1"/>
  <c r="E8" i="1"/>
  <c r="D9" i="1"/>
  <c r="H7" i="1"/>
  <c r="G7" i="1"/>
  <c r="E7" i="1"/>
  <c r="D8" i="1" l="1"/>
  <c r="G9" i="1"/>
  <c r="F9" i="1"/>
  <c r="F8" i="1"/>
  <c r="G8" i="1"/>
  <c r="J7" i="1"/>
  <c r="K8" i="1" l="1"/>
  <c r="I9" i="1"/>
  <c r="K9" i="1"/>
  <c r="K7" i="1"/>
  <c r="I7" i="1"/>
  <c r="I8" i="1" l="1"/>
</calcChain>
</file>

<file path=xl/sharedStrings.xml><?xml version="1.0" encoding="utf-8"?>
<sst xmlns="http://schemas.openxmlformats.org/spreadsheetml/2006/main" count="463" uniqueCount="173">
  <si>
    <t>MQ指標実績表</t>
    <rPh sb="2" eb="4">
      <t>シヒョウ</t>
    </rPh>
    <rPh sb="4" eb="6">
      <t>ジッセキ</t>
    </rPh>
    <rPh sb="6" eb="7">
      <t>ヒョウ</t>
    </rPh>
    <phoneticPr fontId="4"/>
  </si>
  <si>
    <t>Ⅰ．概要</t>
    <rPh sb="2" eb="4">
      <t>ガイヨウ</t>
    </rPh>
    <phoneticPr fontId="4"/>
  </si>
  <si>
    <t>項 目</t>
    <rPh sb="0" eb="1">
      <t>コウ</t>
    </rPh>
    <rPh sb="2" eb="3">
      <t>メ</t>
    </rPh>
    <phoneticPr fontId="4"/>
  </si>
  <si>
    <r>
      <t xml:space="preserve">系停止
回数
</t>
    </r>
    <r>
      <rPr>
        <sz val="8"/>
        <rFont val="Meiryo UI"/>
        <family val="3"/>
        <charset val="128"/>
      </rPr>
      <t>(保全要因)</t>
    </r>
    <rPh sb="0" eb="1">
      <t>ケイ</t>
    </rPh>
    <rPh sb="1" eb="3">
      <t>テイシ</t>
    </rPh>
    <rPh sb="4" eb="6">
      <t>カイスウ</t>
    </rPh>
    <rPh sb="8" eb="12">
      <t>ホゼンヨウイン</t>
    </rPh>
    <phoneticPr fontId="4"/>
  </si>
  <si>
    <r>
      <t xml:space="preserve">系停止
時間
</t>
    </r>
    <r>
      <rPr>
        <sz val="8"/>
        <rFont val="Meiryo UI"/>
        <family val="3"/>
        <charset val="128"/>
      </rPr>
      <t>(保全要因)</t>
    </r>
    <rPh sb="0" eb="1">
      <t>ケイ</t>
    </rPh>
    <rPh sb="1" eb="3">
      <t>テイシ</t>
    </rPh>
    <rPh sb="4" eb="6">
      <t>ジカン</t>
    </rPh>
    <phoneticPr fontId="4"/>
  </si>
  <si>
    <t>故障1
件数</t>
    <rPh sb="0" eb="2">
      <t>コショウ</t>
    </rPh>
    <rPh sb="4" eb="6">
      <t>ケンスウ</t>
    </rPh>
    <phoneticPr fontId="4"/>
  </si>
  <si>
    <t>故障2
件数</t>
    <rPh sb="0" eb="2">
      <t>コショウ</t>
    </rPh>
    <rPh sb="4" eb="6">
      <t>ケンスウ</t>
    </rPh>
    <phoneticPr fontId="4"/>
  </si>
  <si>
    <t>予知
修理
件数</t>
    <rPh sb="0" eb="2">
      <t>ヨチ</t>
    </rPh>
    <rPh sb="3" eb="5">
      <t>シュウリ</t>
    </rPh>
    <rPh sb="6" eb="8">
      <t>ケンスウ</t>
    </rPh>
    <phoneticPr fontId="4"/>
  </si>
  <si>
    <t>作業
総件数</t>
    <rPh sb="0" eb="2">
      <t>サギョウ</t>
    </rPh>
    <rPh sb="3" eb="4">
      <t>ソウ</t>
    </rPh>
    <rPh sb="4" eb="6">
      <t>ケンスウ</t>
    </rPh>
    <phoneticPr fontId="4"/>
  </si>
  <si>
    <t>計画
作業
件数</t>
    <rPh sb="0" eb="2">
      <t>ケイカク</t>
    </rPh>
    <rPh sb="3" eb="5">
      <t>サギョウ</t>
    </rPh>
    <rPh sb="6" eb="8">
      <t>ケンスウ</t>
    </rPh>
    <phoneticPr fontId="4"/>
  </si>
  <si>
    <t>計画
作業率</t>
    <rPh sb="0" eb="2">
      <t>ケイカク</t>
    </rPh>
    <rPh sb="3" eb="5">
      <t>サギョウ</t>
    </rPh>
    <rPh sb="5" eb="6">
      <t>リツ</t>
    </rPh>
    <phoneticPr fontId="4"/>
  </si>
  <si>
    <t>呼び出し
回数</t>
    <rPh sb="0" eb="1">
      <t>ヨ</t>
    </rPh>
    <rPh sb="2" eb="3">
      <t>ダ</t>
    </rPh>
    <rPh sb="5" eb="7">
      <t>カイスウ</t>
    </rPh>
    <phoneticPr fontId="4"/>
  </si>
  <si>
    <t>工場</t>
  </si>
  <si>
    <t>プラント</t>
  </si>
  <si>
    <t>当 月</t>
  </si>
  <si>
    <t>工程</t>
  </si>
  <si>
    <t>累計（半期）</t>
    <rPh sb="3" eb="5">
      <t>ハンキ</t>
    </rPh>
    <phoneticPr fontId="4"/>
  </si>
  <si>
    <t>職種</t>
  </si>
  <si>
    <t>累計（年度）</t>
    <rPh sb="0" eb="2">
      <t>ルイケイ</t>
    </rPh>
    <rPh sb="3" eb="5">
      <t>ネンド</t>
    </rPh>
    <phoneticPr fontId="4"/>
  </si>
  <si>
    <t>Ⅱ．詳細</t>
  </si>
  <si>
    <t>当月</t>
    <rPh sb="0" eb="2">
      <t>トウゲツ</t>
    </rPh>
    <phoneticPr fontId="11"/>
  </si>
  <si>
    <t>累計</t>
    <rPh sb="0" eb="2">
      <t>ルイケイ</t>
    </rPh>
    <phoneticPr fontId="11"/>
  </si>
  <si>
    <t>　項　      目</t>
  </si>
  <si>
    <t>機 械</t>
    <phoneticPr fontId="4"/>
  </si>
  <si>
    <t>電 気</t>
    <phoneticPr fontId="4"/>
  </si>
  <si>
    <t>計 装</t>
    <phoneticPr fontId="4"/>
  </si>
  <si>
    <t>その他</t>
    <rPh sb="2" eb="3">
      <t>タ</t>
    </rPh>
    <phoneticPr fontId="4"/>
  </si>
  <si>
    <t>合 計</t>
    <phoneticPr fontId="4"/>
  </si>
  <si>
    <t>系
の
停
止</t>
    <rPh sb="0" eb="1">
      <t>ケイ</t>
    </rPh>
    <rPh sb="4" eb="5">
      <t>テイ</t>
    </rPh>
    <rPh sb="6" eb="7">
      <t>ドメ</t>
    </rPh>
    <phoneticPr fontId="4"/>
  </si>
  <si>
    <t>★ 系 停 止 回 数</t>
    <rPh sb="2" eb="3">
      <t>ケイ</t>
    </rPh>
    <rPh sb="4" eb="5">
      <t>テイ</t>
    </rPh>
    <rPh sb="6" eb="7">
      <t>トメ</t>
    </rPh>
    <rPh sb="8" eb="9">
      <t>カイ</t>
    </rPh>
    <rPh sb="10" eb="11">
      <t>スウ</t>
    </rPh>
    <phoneticPr fontId="4"/>
  </si>
  <si>
    <t>★ 保全要因</t>
    <rPh sb="2" eb="4">
      <t>ホゼン</t>
    </rPh>
    <rPh sb="4" eb="6">
      <t>ヨウイン</t>
    </rPh>
    <phoneticPr fontId="4"/>
  </si>
  <si>
    <t>半期</t>
    <rPh sb="0" eb="2">
      <t>ハンキ</t>
    </rPh>
    <phoneticPr fontId="11"/>
  </si>
  <si>
    <t>年度</t>
    <rPh sb="0" eb="2">
      <t>ネンド</t>
    </rPh>
    <phoneticPr fontId="11"/>
  </si>
  <si>
    <t>★ 製造要因</t>
    <rPh sb="2" eb="4">
      <t>セイゾウ</t>
    </rPh>
    <rPh sb="4" eb="6">
      <t>ヨウイン</t>
    </rPh>
    <phoneticPr fontId="4"/>
  </si>
  <si>
    <t>計</t>
    <rPh sb="0" eb="1">
      <t>ケイ</t>
    </rPh>
    <phoneticPr fontId="4"/>
  </si>
  <si>
    <t>★ 系 停 止 時 間 （保全要因）　［Ｈｒ]</t>
    <rPh sb="2" eb="3">
      <t>ケイ</t>
    </rPh>
    <rPh sb="4" eb="5">
      <t>テイ</t>
    </rPh>
    <rPh sb="6" eb="7">
      <t>トメ</t>
    </rPh>
    <rPh sb="8" eb="9">
      <t>ジ</t>
    </rPh>
    <rPh sb="10" eb="11">
      <t>ハザマ</t>
    </rPh>
    <rPh sb="13" eb="15">
      <t>ホゼン</t>
    </rPh>
    <rPh sb="15" eb="17">
      <t>ヨウイン</t>
    </rPh>
    <phoneticPr fontId="4"/>
  </si>
  <si>
    <t>故障修理件数</t>
    <rPh sb="0" eb="2">
      <t>コショウ</t>
    </rPh>
    <rPh sb="2" eb="4">
      <t>シュウリ</t>
    </rPh>
    <rPh sb="4" eb="6">
      <t>ケンスウ</t>
    </rPh>
    <phoneticPr fontId="4"/>
  </si>
  <si>
    <t>★ 故 障 1</t>
    <phoneticPr fontId="4"/>
  </si>
  <si>
    <t>★ TBM 故障</t>
    <rPh sb="6" eb="8">
      <t>コショウ</t>
    </rPh>
    <phoneticPr fontId="4"/>
  </si>
  <si>
    <t>★ CBM 想定外故障</t>
    <rPh sb="6" eb="8">
      <t>ソウテイ</t>
    </rPh>
    <rPh sb="8" eb="9">
      <t>ソト</t>
    </rPh>
    <rPh sb="9" eb="11">
      <t>コショウ</t>
    </rPh>
    <phoneticPr fontId="4"/>
  </si>
  <si>
    <t>(a)</t>
    <phoneticPr fontId="4"/>
  </si>
  <si>
    <t>★ 故 障 2</t>
    <phoneticPr fontId="4"/>
  </si>
  <si>
    <t>★ CBM 想定内故障</t>
    <rPh sb="6" eb="8">
      <t>ソウテイ</t>
    </rPh>
    <rPh sb="8" eb="9">
      <t>ナイ</t>
    </rPh>
    <rPh sb="9" eb="11">
      <t>コショウ</t>
    </rPh>
    <phoneticPr fontId="4"/>
  </si>
  <si>
    <t>★ BDM 故障</t>
    <rPh sb="6" eb="8">
      <t>コショウ</t>
    </rPh>
    <phoneticPr fontId="4"/>
  </si>
  <si>
    <t>(b)</t>
    <phoneticPr fontId="4"/>
  </si>
  <si>
    <t>★ 予 知 修 理</t>
    <phoneticPr fontId="4"/>
  </si>
  <si>
    <t>(c)</t>
    <phoneticPr fontId="4"/>
  </si>
  <si>
    <t>計　(a)+(b)+(c)</t>
    <rPh sb="0" eb="1">
      <t>ケイ</t>
    </rPh>
    <phoneticPr fontId="4"/>
  </si>
  <si>
    <t>(d)</t>
    <phoneticPr fontId="4"/>
  </si>
  <si>
    <r>
      <t>作業計画性</t>
    </r>
    <r>
      <rPr>
        <sz val="12"/>
        <rFont val="Meiryo UI"/>
        <family val="3"/>
        <charset val="128"/>
      </rPr>
      <t>分</t>
    </r>
    <r>
      <rPr>
        <sz val="11"/>
        <rFont val="Meiryo UI"/>
        <family val="3"/>
        <charset val="128"/>
      </rPr>
      <t>類</t>
    </r>
    <rPh sb="0" eb="2">
      <t>サギョウ</t>
    </rPh>
    <rPh sb="2" eb="5">
      <t>ケイカクセイ</t>
    </rPh>
    <rPh sb="5" eb="7">
      <t>ブンルイ</t>
    </rPh>
    <phoneticPr fontId="4"/>
  </si>
  <si>
    <t>　計 画 作 業 件 数</t>
    <rPh sb="1" eb="2">
      <t>ケイ</t>
    </rPh>
    <rPh sb="3" eb="4">
      <t>ガ</t>
    </rPh>
    <rPh sb="5" eb="6">
      <t>サク</t>
    </rPh>
    <rPh sb="7" eb="8">
      <t>ギョウ</t>
    </rPh>
    <rPh sb="9" eb="10">
      <t>ケン</t>
    </rPh>
    <rPh sb="11" eb="12">
      <t>スウ</t>
    </rPh>
    <phoneticPr fontId="4"/>
  </si>
  <si>
    <t>　予防保全作業件数</t>
    <phoneticPr fontId="4"/>
  </si>
  <si>
    <t>(e)</t>
    <phoneticPr fontId="4"/>
  </si>
  <si>
    <t>　その他計画作業件数</t>
    <rPh sb="3" eb="4">
      <t>タ</t>
    </rPh>
    <rPh sb="4" eb="6">
      <t>ケイカク</t>
    </rPh>
    <rPh sb="6" eb="8">
      <t>サギョウ</t>
    </rPh>
    <phoneticPr fontId="4"/>
  </si>
  <si>
    <t>小計</t>
    <rPh sb="0" eb="2">
      <t>ショウケイ</t>
    </rPh>
    <phoneticPr fontId="4"/>
  </si>
  <si>
    <t>(f)</t>
    <phoneticPr fontId="4"/>
  </si>
  <si>
    <t>　計 画 外 作 業 件 数</t>
    <rPh sb="1" eb="2">
      <t>ケイ</t>
    </rPh>
    <rPh sb="3" eb="4">
      <t>ガ</t>
    </rPh>
    <rPh sb="5" eb="6">
      <t>ソト</t>
    </rPh>
    <phoneticPr fontId="4"/>
  </si>
  <si>
    <t>　突発作業件数</t>
    <rPh sb="3" eb="5">
      <t>サギョウ</t>
    </rPh>
    <phoneticPr fontId="4"/>
  </si>
  <si>
    <t>(g)</t>
    <phoneticPr fontId="4"/>
  </si>
  <si>
    <t>　その他計画外作業件数</t>
    <rPh sb="3" eb="4">
      <t>タ</t>
    </rPh>
    <rPh sb="4" eb="6">
      <t>ケイカク</t>
    </rPh>
    <rPh sb="6" eb="7">
      <t>ガイ</t>
    </rPh>
    <rPh sb="7" eb="9">
      <t>サギョウ</t>
    </rPh>
    <phoneticPr fontId="4"/>
  </si>
  <si>
    <t>(h)</t>
    <phoneticPr fontId="4"/>
  </si>
  <si>
    <t>★ 作 業 総 件 数</t>
    <rPh sb="6" eb="7">
      <t>ソウ</t>
    </rPh>
    <rPh sb="8" eb="9">
      <t>ケン</t>
    </rPh>
    <phoneticPr fontId="4"/>
  </si>
  <si>
    <t>計　(f)+(h)</t>
    <rPh sb="0" eb="1">
      <t>ケイ</t>
    </rPh>
    <phoneticPr fontId="4"/>
  </si>
  <si>
    <t>(i)</t>
    <phoneticPr fontId="4"/>
  </si>
  <si>
    <t>★ 計 画 作 業 率</t>
    <rPh sb="6" eb="7">
      <t>サク</t>
    </rPh>
    <rPh sb="8" eb="9">
      <t>ギョウ</t>
    </rPh>
    <rPh sb="10" eb="11">
      <t>リツ</t>
    </rPh>
    <phoneticPr fontId="4"/>
  </si>
  <si>
    <t>［=(f)/(i)*100］</t>
    <phoneticPr fontId="4"/>
  </si>
  <si>
    <t>　 予 防 保 全 作 業 率</t>
    <rPh sb="2" eb="3">
      <t>ヨ</t>
    </rPh>
    <rPh sb="4" eb="5">
      <t>ボウ</t>
    </rPh>
    <rPh sb="6" eb="7">
      <t>タモツ</t>
    </rPh>
    <rPh sb="8" eb="9">
      <t>ゼン</t>
    </rPh>
    <rPh sb="10" eb="11">
      <t>サク</t>
    </rPh>
    <rPh sb="12" eb="13">
      <t>ギョウ</t>
    </rPh>
    <rPh sb="14" eb="15">
      <t>リツ</t>
    </rPh>
    <phoneticPr fontId="4"/>
  </si>
  <si>
    <t>［=(e’)/(i)*100]</t>
    <phoneticPr fontId="4"/>
  </si>
  <si>
    <t>　  突 発 作 業 率</t>
    <rPh sb="7" eb="8">
      <t>サク</t>
    </rPh>
    <rPh sb="9" eb="10">
      <t>ギョウ</t>
    </rPh>
    <phoneticPr fontId="4"/>
  </si>
  <si>
    <t>［=(g)/(i)*100］</t>
    <phoneticPr fontId="4"/>
  </si>
  <si>
    <t>作業性格分類</t>
    <rPh sb="0" eb="2">
      <t>サギョウ</t>
    </rPh>
    <rPh sb="2" eb="4">
      <t>セイカク</t>
    </rPh>
    <rPh sb="4" eb="6">
      <t>ブンルイ</t>
    </rPh>
    <phoneticPr fontId="4"/>
  </si>
  <si>
    <t>予 防 保 全</t>
    <rPh sb="0" eb="1">
      <t>ヨ</t>
    </rPh>
    <rPh sb="2" eb="3">
      <t>ボウ</t>
    </rPh>
    <rPh sb="4" eb="5">
      <t>タモツ</t>
    </rPh>
    <rPh sb="6" eb="7">
      <t>ゼン</t>
    </rPh>
    <phoneticPr fontId="4"/>
  </si>
  <si>
    <r>
      <t xml:space="preserve">　予 防 保 全 作 業 件 数
</t>
    </r>
    <r>
      <rPr>
        <sz val="8"/>
        <rFont val="Meiryo UI"/>
        <family val="3"/>
        <charset val="128"/>
      </rPr>
      <t>　　（法定検査、予防検査、定期整備、計画修理、計画塗装）</t>
    </r>
    <rPh sb="1" eb="2">
      <t>ヨ</t>
    </rPh>
    <rPh sb="3" eb="4">
      <t>ボウ</t>
    </rPh>
    <rPh sb="13" eb="14">
      <t>ケン</t>
    </rPh>
    <rPh sb="15" eb="16">
      <t>スウ</t>
    </rPh>
    <rPh sb="20" eb="22">
      <t>ホウテイ</t>
    </rPh>
    <rPh sb="22" eb="24">
      <t>ケンサ</t>
    </rPh>
    <rPh sb="25" eb="27">
      <t>ヨボウ</t>
    </rPh>
    <rPh sb="27" eb="29">
      <t>ケンサ</t>
    </rPh>
    <rPh sb="30" eb="32">
      <t>テイキ</t>
    </rPh>
    <rPh sb="32" eb="34">
      <t>セイビ</t>
    </rPh>
    <rPh sb="35" eb="37">
      <t>ケイカク</t>
    </rPh>
    <rPh sb="37" eb="39">
      <t>シュウリ</t>
    </rPh>
    <rPh sb="40" eb="42">
      <t>ケイカク</t>
    </rPh>
    <rPh sb="42" eb="44">
      <t>トソウ</t>
    </rPh>
    <phoneticPr fontId="4"/>
  </si>
  <si>
    <t>(e’)</t>
    <phoneticPr fontId="4"/>
  </si>
  <si>
    <t>事 後 保 全</t>
    <rPh sb="0" eb="1">
      <t>コト</t>
    </rPh>
    <rPh sb="2" eb="3">
      <t>アト</t>
    </rPh>
    <rPh sb="4" eb="5">
      <t>タモツ</t>
    </rPh>
    <rPh sb="6" eb="7">
      <t>ゼン</t>
    </rPh>
    <phoneticPr fontId="4"/>
  </si>
  <si>
    <r>
      <t xml:space="preserve">　故 障 修 理 件 数
</t>
    </r>
    <r>
      <rPr>
        <sz val="8"/>
        <color indexed="8"/>
        <rFont val="Meiryo UI"/>
        <family val="3"/>
        <charset val="128"/>
      </rPr>
      <t>　　　(故障1+故障2+予知修理）</t>
    </r>
    <rPh sb="1" eb="2">
      <t>ユエ</t>
    </rPh>
    <rPh sb="3" eb="4">
      <t>ショウ</t>
    </rPh>
    <rPh sb="5" eb="6">
      <t>オサム</t>
    </rPh>
    <rPh sb="7" eb="8">
      <t>リ</t>
    </rPh>
    <rPh sb="9" eb="10">
      <t>ケン</t>
    </rPh>
    <rPh sb="11" eb="12">
      <t>スウ</t>
    </rPh>
    <rPh sb="17" eb="19">
      <t>コショウ</t>
    </rPh>
    <rPh sb="21" eb="23">
      <t>コショウ</t>
    </rPh>
    <rPh sb="25" eb="27">
      <t>ヨチ</t>
    </rPh>
    <rPh sb="27" eb="29">
      <t>シュウリ</t>
    </rPh>
    <phoneticPr fontId="4"/>
  </si>
  <si>
    <r>
      <t xml:space="preserve">　そ の 他 作 業 件 数
</t>
    </r>
    <r>
      <rPr>
        <sz val="8"/>
        <rFont val="Meiryo UI"/>
        <family val="3"/>
        <charset val="128"/>
      </rPr>
      <t>　　（簡易保全、トラブル調査、その他）</t>
    </r>
    <rPh sb="5" eb="6">
      <t>タ</t>
    </rPh>
    <rPh sb="7" eb="8">
      <t>サク</t>
    </rPh>
    <rPh sb="9" eb="10">
      <t>ギョウ</t>
    </rPh>
    <rPh sb="11" eb="12">
      <t>ケン</t>
    </rPh>
    <rPh sb="13" eb="14">
      <t>スウ</t>
    </rPh>
    <rPh sb="18" eb="20">
      <t>カンイ</t>
    </rPh>
    <rPh sb="20" eb="22">
      <t>ホゼン</t>
    </rPh>
    <rPh sb="27" eb="29">
      <t>チョウサ</t>
    </rPh>
    <rPh sb="32" eb="33">
      <t>タ</t>
    </rPh>
    <phoneticPr fontId="4"/>
  </si>
  <si>
    <t>製 造 関 連</t>
    <rPh sb="0" eb="1">
      <t>セイ</t>
    </rPh>
    <rPh sb="2" eb="3">
      <t>ヅクリ</t>
    </rPh>
    <rPh sb="4" eb="5">
      <t>カン</t>
    </rPh>
    <rPh sb="6" eb="7">
      <t>レン</t>
    </rPh>
    <phoneticPr fontId="4"/>
  </si>
  <si>
    <r>
      <t xml:space="preserve">　製 造 関 連 作 業 件 数
</t>
    </r>
    <r>
      <rPr>
        <sz val="8"/>
        <rFont val="Meiryo UI"/>
        <family val="3"/>
        <charset val="128"/>
      </rPr>
      <t>　　（生産計画変更、クリーニング、製造件名修繕、改善）</t>
    </r>
    <rPh sb="1" eb="2">
      <t>セイ</t>
    </rPh>
    <rPh sb="3" eb="4">
      <t>ヅクリ</t>
    </rPh>
    <rPh sb="5" eb="6">
      <t>カン</t>
    </rPh>
    <rPh sb="7" eb="8">
      <t>レン</t>
    </rPh>
    <rPh sb="9" eb="10">
      <t>サク</t>
    </rPh>
    <rPh sb="11" eb="12">
      <t>ギョウ</t>
    </rPh>
    <rPh sb="13" eb="14">
      <t>ケン</t>
    </rPh>
    <rPh sb="15" eb="16">
      <t>スウ</t>
    </rPh>
    <rPh sb="20" eb="22">
      <t>セイサン</t>
    </rPh>
    <rPh sb="22" eb="24">
      <t>ケイカク</t>
    </rPh>
    <rPh sb="24" eb="26">
      <t>ヘンコウ</t>
    </rPh>
    <rPh sb="34" eb="36">
      <t>セイゾウ</t>
    </rPh>
    <rPh sb="36" eb="38">
      <t>ケンメイ</t>
    </rPh>
    <rPh sb="38" eb="40">
      <t>シュウゼン</t>
    </rPh>
    <rPh sb="41" eb="43">
      <t>カイゼン</t>
    </rPh>
    <phoneticPr fontId="4"/>
  </si>
  <si>
    <t>(j)</t>
    <phoneticPr fontId="4"/>
  </si>
  <si>
    <t>★ 呼 び 出 し 回 数</t>
    <rPh sb="10" eb="11">
      <t>カイ</t>
    </rPh>
    <phoneticPr fontId="4"/>
  </si>
  <si>
    <t>※１</t>
    <phoneticPr fontId="4"/>
  </si>
  <si>
    <t>★印は、重要指標　（保全月報／保全白書　掲載指標）</t>
    <rPh sb="1" eb="2">
      <t>シルシ</t>
    </rPh>
    <rPh sb="4" eb="6">
      <t>ジュウヨウ</t>
    </rPh>
    <rPh sb="6" eb="8">
      <t>シヒョウ</t>
    </rPh>
    <rPh sb="10" eb="12">
      <t>ホゼン</t>
    </rPh>
    <rPh sb="12" eb="14">
      <t>ゲッポウ</t>
    </rPh>
    <rPh sb="15" eb="17">
      <t>ホゼン</t>
    </rPh>
    <rPh sb="17" eb="19">
      <t>ハクショ</t>
    </rPh>
    <rPh sb="20" eb="22">
      <t>ケイサイ</t>
    </rPh>
    <rPh sb="22" eb="24">
      <t>シヒョウ</t>
    </rPh>
    <phoneticPr fontId="13"/>
  </si>
  <si>
    <t>※２</t>
  </si>
  <si>
    <t>保全履歴入力時、「MQ分類」あるいは「突発計画区分」の入力（選択）がされていない作業件名がある場合は、</t>
    <rPh sb="0" eb="2">
      <t>ホゼン</t>
    </rPh>
    <rPh sb="2" eb="4">
      <t>リレキ</t>
    </rPh>
    <rPh sb="4" eb="6">
      <t>ニュウリョク</t>
    </rPh>
    <rPh sb="6" eb="7">
      <t>ジ</t>
    </rPh>
    <rPh sb="11" eb="13">
      <t>ブンルイ</t>
    </rPh>
    <rPh sb="19" eb="21">
      <t>トッパツ</t>
    </rPh>
    <rPh sb="21" eb="23">
      <t>ケイカク</t>
    </rPh>
    <rPh sb="23" eb="25">
      <t>クブン</t>
    </rPh>
    <rPh sb="27" eb="29">
      <t>ニュウリョク</t>
    </rPh>
    <rPh sb="30" eb="32">
      <t>センタク</t>
    </rPh>
    <rPh sb="40" eb="42">
      <t>サギョウ</t>
    </rPh>
    <rPh sb="42" eb="44">
      <t>ケンメイ</t>
    </rPh>
    <rPh sb="47" eb="49">
      <t>バアイ</t>
    </rPh>
    <phoneticPr fontId="4"/>
  </si>
  <si>
    <t>iとjの作業総件数が一致せず、赤字で表示されますので、見直しください。</t>
    <rPh sb="15" eb="17">
      <t>アカジ</t>
    </rPh>
    <rPh sb="18" eb="20">
      <t>ヒョウジ</t>
    </rPh>
    <rPh sb="27" eb="29">
      <t>ミナオ</t>
    </rPh>
    <phoneticPr fontId="4"/>
  </si>
  <si>
    <t>※３</t>
  </si>
  <si>
    <t>予防保全作業を、突発停止区分の「計画外」として入力（選択）した場合は、（ｅ）≠（ｅ’）となります。</t>
    <rPh sb="0" eb="2">
      <t>ヨボウ</t>
    </rPh>
    <rPh sb="2" eb="4">
      <t>ホゼン</t>
    </rPh>
    <rPh sb="4" eb="6">
      <t>サギョウ</t>
    </rPh>
    <rPh sb="8" eb="10">
      <t>トッパツ</t>
    </rPh>
    <rPh sb="10" eb="12">
      <t>テイシ</t>
    </rPh>
    <rPh sb="12" eb="14">
      <t>クブン</t>
    </rPh>
    <rPh sb="16" eb="18">
      <t>ケイカク</t>
    </rPh>
    <rPh sb="18" eb="19">
      <t>ガイ</t>
    </rPh>
    <rPh sb="23" eb="25">
      <t>ニュウリョク</t>
    </rPh>
    <rPh sb="26" eb="28">
      <t>センタク</t>
    </rPh>
    <rPh sb="31" eb="33">
      <t>バアイ</t>
    </rPh>
    <phoneticPr fontId="4"/>
  </si>
  <si>
    <t>@集計項目出力1</t>
    <phoneticPr fontId="3"/>
  </si>
  <si>
    <t>@集計項目出力2</t>
    <phoneticPr fontId="3"/>
  </si>
  <si>
    <t>@集計項目出力3</t>
    <phoneticPr fontId="3"/>
  </si>
  <si>
    <t>@集計項目出力4</t>
    <phoneticPr fontId="3"/>
  </si>
  <si>
    <t>@集計項目出力5</t>
    <phoneticPr fontId="3"/>
  </si>
  <si>
    <t>@集計項目出力6</t>
    <phoneticPr fontId="3"/>
  </si>
  <si>
    <t>@集計項目出力11</t>
    <phoneticPr fontId="3"/>
  </si>
  <si>
    <t>@集計項目出力12</t>
    <phoneticPr fontId="3"/>
  </si>
  <si>
    <t>@集計項目出力7</t>
    <phoneticPr fontId="3"/>
  </si>
  <si>
    <t>@集計項目出力8</t>
    <phoneticPr fontId="3"/>
  </si>
  <si>
    <t>@集計項目出力13</t>
    <phoneticPr fontId="3"/>
  </si>
  <si>
    <t>@集計項目出力14</t>
    <phoneticPr fontId="3"/>
  </si>
  <si>
    <t>@集計項目出力9</t>
    <phoneticPr fontId="3"/>
  </si>
  <si>
    <t>@集計項目出力10</t>
    <phoneticPr fontId="3"/>
  </si>
  <si>
    <t>@集計項目出力15</t>
    <phoneticPr fontId="3"/>
  </si>
  <si>
    <t>@対象年月</t>
    <rPh sb="1" eb="3">
      <t>タイショウ</t>
    </rPh>
    <rPh sb="3" eb="5">
      <t>ネンツキ</t>
    </rPh>
    <phoneticPr fontId="3"/>
  </si>
  <si>
    <t>MQ指標実績表（期報）</t>
    <rPh sb="2" eb="4">
      <t>シヒョウ</t>
    </rPh>
    <rPh sb="4" eb="6">
      <t>ジッセキ</t>
    </rPh>
    <rPh sb="6" eb="7">
      <t>ヒョウ</t>
    </rPh>
    <rPh sb="8" eb="10">
      <t>キホウ</t>
    </rPh>
    <phoneticPr fontId="4"/>
  </si>
  <si>
    <t>期累計</t>
    <rPh sb="0" eb="3">
      <t>キルイケイ</t>
    </rPh>
    <phoneticPr fontId="11"/>
  </si>
  <si>
    <t>MQ指標実績表（年報）</t>
    <rPh sb="2" eb="4">
      <t>シヒョウ</t>
    </rPh>
    <rPh sb="4" eb="6">
      <t>ジッセキ</t>
    </rPh>
    <rPh sb="6" eb="7">
      <t>ヒョウ</t>
    </rPh>
    <rPh sb="8" eb="10">
      <t>ネンポウ</t>
    </rPh>
    <phoneticPr fontId="4"/>
  </si>
  <si>
    <t>年度累計</t>
    <rPh sb="0" eb="2">
      <t>ネンド</t>
    </rPh>
    <rPh sb="2" eb="4">
      <t>ルイケイ</t>
    </rPh>
    <phoneticPr fontId="11"/>
  </si>
  <si>
    <t>@集計項目出力1</t>
  </si>
  <si>
    <t>@集計項目出力2</t>
  </si>
  <si>
    <t>@集計項目出力3</t>
  </si>
  <si>
    <t>@集計項目出力4</t>
  </si>
  <si>
    <t>@集計項目出力5</t>
  </si>
  <si>
    <t>@集計項目出力6</t>
  </si>
  <si>
    <t>@集計項目出力7</t>
  </si>
  <si>
    <t>@集計項目出力8</t>
  </si>
  <si>
    <t>@集計項目出力9</t>
  </si>
  <si>
    <t>@集計項目出力10</t>
  </si>
  <si>
    <t>@集計項目出力11</t>
  </si>
  <si>
    <t>@集計項目出力12</t>
  </si>
  <si>
    <t>@集計項目出力13</t>
  </si>
  <si>
    <t>@集計項目出力14</t>
  </si>
  <si>
    <t>@集計項目出力15</t>
  </si>
  <si>
    <t>@集計項目出力16</t>
  </si>
  <si>
    <t>@集計項目出力17</t>
  </si>
  <si>
    <t>@集計項目出力18</t>
  </si>
  <si>
    <t>@集計項目出力19</t>
  </si>
  <si>
    <t>@集計項目出力20</t>
  </si>
  <si>
    <t>@集計項目出力21</t>
  </si>
  <si>
    <t>@集計項目出力22</t>
  </si>
  <si>
    <t>@集計項目出力23</t>
  </si>
  <si>
    <t>@集計項目出力24</t>
  </si>
  <si>
    <t>@集計項目出力25</t>
  </si>
  <si>
    <t>@集計項目出力26</t>
  </si>
  <si>
    <t>@集計項目出力27</t>
  </si>
  <si>
    <t>@集計項目出力28</t>
  </si>
  <si>
    <t>@集計項目出力29</t>
  </si>
  <si>
    <t>@集計項目出力30</t>
  </si>
  <si>
    <t>@集計項目出力31</t>
  </si>
  <si>
    <t>@集計項目出力32</t>
  </si>
  <si>
    <t>@集計項目出力33</t>
  </si>
  <si>
    <t>@集計項目出力34</t>
  </si>
  <si>
    <t>@集計項目出力35</t>
  </si>
  <si>
    <t>@集計項目出力36</t>
  </si>
  <si>
    <t>@集計項目出力37</t>
  </si>
  <si>
    <t>@集計項目出力38</t>
  </si>
  <si>
    <t>@集計項目出力39</t>
  </si>
  <si>
    <t>@集計項目出力40</t>
  </si>
  <si>
    <t>@集計項目出力41</t>
  </si>
  <si>
    <t>@集計項目出力42</t>
  </si>
  <si>
    <t>@集計項目出力43</t>
  </si>
  <si>
    <t>@集計項目出力44</t>
  </si>
  <si>
    <t>@集計項目出力45</t>
  </si>
  <si>
    <t>@集計項目出力46</t>
  </si>
  <si>
    <t>@集計項目出力47</t>
  </si>
  <si>
    <t>@集計項目出力48</t>
  </si>
  <si>
    <t>@集計項目出力49</t>
  </si>
  <si>
    <t>@集計項目出力50</t>
  </si>
  <si>
    <t>@集計項目出力51</t>
  </si>
  <si>
    <t>@集計項目出力52</t>
  </si>
  <si>
    <t>@集計項目出力53</t>
  </si>
  <si>
    <t>@集計項目出力54</t>
  </si>
  <si>
    <t>@集計項目出力55</t>
  </si>
  <si>
    <t>@集計項目出力56</t>
  </si>
  <si>
    <t>@集計項目出力57</t>
  </si>
  <si>
    <t>@集計項目出力58</t>
  </si>
  <si>
    <t>@集計項目出力59</t>
  </si>
  <si>
    <t>@集計項目出力60</t>
  </si>
  <si>
    <t>@工場</t>
    <phoneticPr fontId="3"/>
  </si>
  <si>
    <t>@プラント</t>
    <phoneticPr fontId="3"/>
  </si>
  <si>
    <t>@工程</t>
    <phoneticPr fontId="3"/>
  </si>
  <si>
    <t>@職種</t>
    <phoneticPr fontId="3"/>
  </si>
  <si>
    <t>@年度開始月</t>
    <rPh sb="1" eb="3">
      <t>ネンド</t>
    </rPh>
    <rPh sb="3" eb="5">
      <t>カイシ</t>
    </rPh>
    <rPh sb="5" eb="6">
      <t>ツキ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</si>
</sst>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6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sz val="6"/>
      <name val="Meiryo UI"/>
      <family val="2"/>
      <charset val="128"/>
    </font>
    <font>
      <sz val="8"/>
      <color indexed="8"/>
      <name val="Meiryo UI"/>
      <family val="3"/>
      <charset val="128"/>
    </font>
    <font>
      <sz val="11"/>
      <color indexed="16"/>
      <name val="ＭＳ Ｐゴシック"/>
      <family val="3"/>
      <charset val="128"/>
    </font>
    <font>
      <sz val="11"/>
      <color theme="1"/>
      <name val="Meiryo UI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7"/>
        <bgColor indexed="8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59999389629810485"/>
        <bgColor indexed="8"/>
      </patternFill>
    </fill>
    <fill>
      <patternFill patternType="solid">
        <fgColor theme="9" tint="0.39997558519241921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9" tint="0.39997558519241921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</cellStyleXfs>
  <cellXfs count="245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6" fillId="3" borderId="3" xfId="1" applyFont="1" applyFill="1" applyBorder="1">
      <alignment vertical="center"/>
    </xf>
    <xf numFmtId="0" fontId="6" fillId="4" borderId="6" xfId="1" applyFont="1" applyFill="1" applyBorder="1" applyAlignment="1">
      <alignment horizontal="center" vertical="center"/>
    </xf>
    <xf numFmtId="0" fontId="10" fillId="5" borderId="10" xfId="1" applyFont="1" applyFill="1" applyBorder="1">
      <alignment vertical="center"/>
    </xf>
    <xf numFmtId="0" fontId="10" fillId="6" borderId="14" xfId="1" applyFont="1" applyFill="1" applyBorder="1">
      <alignment vertical="center"/>
    </xf>
    <xf numFmtId="0" fontId="6" fillId="2" borderId="21" xfId="1" applyFont="1" applyFill="1" applyBorder="1">
      <alignment vertical="center"/>
    </xf>
    <xf numFmtId="0" fontId="6" fillId="2" borderId="22" xfId="1" applyFont="1" applyFill="1" applyBorder="1">
      <alignment vertical="center"/>
    </xf>
    <xf numFmtId="0" fontId="6" fillId="8" borderId="23" xfId="1" applyFont="1" applyFill="1" applyBorder="1" applyAlignment="1">
      <alignment horizontal="center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0" fontId="6" fillId="8" borderId="26" xfId="1" applyFont="1" applyFill="1" applyBorder="1" applyAlignment="1">
      <alignment horizontal="center" vertical="center"/>
    </xf>
    <xf numFmtId="0" fontId="6" fillId="8" borderId="27" xfId="1" applyFont="1" applyFill="1" applyBorder="1" applyAlignment="1">
      <alignment horizontal="center" vertical="center"/>
    </xf>
    <xf numFmtId="0" fontId="6" fillId="2" borderId="28" xfId="1" applyFont="1" applyFill="1" applyBorder="1">
      <alignment vertical="center"/>
    </xf>
    <xf numFmtId="0" fontId="6" fillId="2" borderId="29" xfId="1" applyFont="1" applyFill="1" applyBorder="1" applyAlignment="1">
      <alignment horizontal="center" vertical="center"/>
    </xf>
    <xf numFmtId="0" fontId="6" fillId="2" borderId="30" xfId="1" applyFont="1" applyFill="1" applyBorder="1" applyAlignment="1">
      <alignment horizontal="center" vertical="center"/>
    </xf>
    <xf numFmtId="0" fontId="6" fillId="2" borderId="31" xfId="1" applyFont="1" applyFill="1" applyBorder="1" applyAlignment="1">
      <alignment horizontal="center" vertical="center"/>
    </xf>
    <xf numFmtId="0" fontId="6" fillId="2" borderId="32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5" fillId="0" borderId="40" xfId="1" applyFont="1" applyBorder="1" applyAlignment="1">
      <alignment horizontal="left" vertical="center"/>
    </xf>
    <xf numFmtId="0" fontId="6" fillId="4" borderId="44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6" fillId="9" borderId="52" xfId="1" applyFont="1" applyFill="1" applyBorder="1" applyAlignment="1">
      <alignment horizontal="center" vertical="center"/>
    </xf>
    <xf numFmtId="0" fontId="6" fillId="7" borderId="52" xfId="1" applyFont="1" applyFill="1" applyBorder="1" applyAlignment="1">
      <alignment horizontal="center" vertical="center"/>
    </xf>
    <xf numFmtId="0" fontId="6" fillId="0" borderId="38" xfId="1" applyFont="1" applyBorder="1">
      <alignment vertical="center"/>
    </xf>
    <xf numFmtId="0" fontId="5" fillId="0" borderId="40" xfId="1" applyFont="1" applyBorder="1" applyAlignment="1">
      <alignment horizontal="center" vertical="center"/>
    </xf>
    <xf numFmtId="0" fontId="5" fillId="0" borderId="51" xfId="1" applyFont="1" applyBorder="1">
      <alignment vertical="center"/>
    </xf>
    <xf numFmtId="0" fontId="5" fillId="0" borderId="52" xfId="1" applyFont="1" applyBorder="1">
      <alignment vertical="center"/>
    </xf>
    <xf numFmtId="0" fontId="5" fillId="0" borderId="17" xfId="1" applyFont="1" applyBorder="1" applyAlignment="1">
      <alignment horizontal="center" vertical="center"/>
    </xf>
    <xf numFmtId="0" fontId="5" fillId="0" borderId="61" xfId="1" applyFont="1" applyBorder="1">
      <alignment vertical="center"/>
    </xf>
    <xf numFmtId="0" fontId="5" fillId="0" borderId="65" xfId="1" applyFont="1" applyBorder="1">
      <alignment vertical="center"/>
    </xf>
    <xf numFmtId="0" fontId="5" fillId="0" borderId="40" xfId="1" applyFont="1" applyBorder="1">
      <alignment vertical="center"/>
    </xf>
    <xf numFmtId="0" fontId="5" fillId="0" borderId="17" xfId="1" applyFont="1" applyBorder="1">
      <alignment vertical="center"/>
    </xf>
    <xf numFmtId="0" fontId="5" fillId="0" borderId="38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51" xfId="1" applyFont="1" applyBorder="1" applyAlignment="1">
      <alignment horizontal="left" vertical="center"/>
    </xf>
    <xf numFmtId="0" fontId="5" fillId="0" borderId="52" xfId="1" applyFont="1" applyBorder="1" applyAlignment="1">
      <alignment horizontal="left" vertical="center"/>
    </xf>
    <xf numFmtId="0" fontId="6" fillId="0" borderId="59" xfId="1" applyFont="1" applyBorder="1">
      <alignment vertical="center"/>
    </xf>
    <xf numFmtId="0" fontId="5" fillId="0" borderId="60" xfId="1" applyFont="1" applyBorder="1">
      <alignment vertical="center"/>
    </xf>
    <xf numFmtId="0" fontId="5" fillId="0" borderId="53" xfId="1" applyFont="1" applyBorder="1">
      <alignment vertical="center"/>
    </xf>
    <xf numFmtId="0" fontId="5" fillId="2" borderId="52" xfId="1" applyFont="1" applyFill="1" applyBorder="1" applyAlignment="1">
      <alignment horizontal="left" vertical="center"/>
    </xf>
    <xf numFmtId="0" fontId="6" fillId="0" borderId="40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38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5" fillId="0" borderId="81" xfId="1" applyFont="1" applyBorder="1">
      <alignment vertical="center"/>
    </xf>
    <xf numFmtId="0" fontId="6" fillId="0" borderId="0" xfId="1" applyFont="1" applyAlignment="1">
      <alignment horizontal="right" vertical="center"/>
    </xf>
    <xf numFmtId="0" fontId="6" fillId="4" borderId="45" xfId="1" quotePrefix="1" applyFont="1" applyFill="1" applyBorder="1" applyAlignment="1" applyProtection="1">
      <alignment horizontal="right" vertical="center"/>
      <protection locked="0"/>
    </xf>
    <xf numFmtId="0" fontId="6" fillId="4" borderId="46" xfId="1" quotePrefix="1" applyFont="1" applyFill="1" applyBorder="1" applyAlignment="1" applyProtection="1">
      <alignment horizontal="right" vertical="center"/>
      <protection locked="0"/>
    </xf>
    <xf numFmtId="0" fontId="6" fillId="4" borderId="47" xfId="1" quotePrefix="1" applyFont="1" applyFill="1" applyBorder="1" applyAlignment="1" applyProtection="1">
      <alignment horizontal="right" vertical="center"/>
      <protection locked="0"/>
    </xf>
    <xf numFmtId="0" fontId="6" fillId="4" borderId="48" xfId="1" quotePrefix="1" applyFont="1" applyFill="1" applyBorder="1" applyAlignment="1">
      <alignment horizontal="right" vertical="center"/>
    </xf>
    <xf numFmtId="0" fontId="6" fillId="9" borderId="15" xfId="1" quotePrefix="1" applyFont="1" applyFill="1" applyBorder="1" applyAlignment="1">
      <alignment horizontal="right" vertical="center"/>
    </xf>
    <xf numFmtId="0" fontId="6" fillId="9" borderId="16" xfId="1" quotePrefix="1" applyFont="1" applyFill="1" applyBorder="1" applyAlignment="1">
      <alignment horizontal="right" vertical="center"/>
    </xf>
    <xf numFmtId="0" fontId="6" fillId="9" borderId="42" xfId="1" quotePrefix="1" applyFont="1" applyFill="1" applyBorder="1" applyAlignment="1">
      <alignment horizontal="right" vertical="center"/>
    </xf>
    <xf numFmtId="0" fontId="6" fillId="9" borderId="43" xfId="1" quotePrefix="1" applyFont="1" applyFill="1" applyBorder="1" applyAlignment="1">
      <alignment horizontal="right" vertical="center"/>
    </xf>
    <xf numFmtId="0" fontId="6" fillId="4" borderId="45" xfId="1" applyFont="1" applyFill="1" applyBorder="1" applyAlignment="1" applyProtection="1">
      <alignment horizontal="right" vertical="center"/>
      <protection locked="0"/>
    </xf>
    <xf numFmtId="0" fontId="6" fillId="4" borderId="46" xfId="1" applyFont="1" applyFill="1" applyBorder="1" applyAlignment="1" applyProtection="1">
      <alignment horizontal="right" vertical="center"/>
      <protection locked="0"/>
    </xf>
    <xf numFmtId="0" fontId="6" fillId="4" borderId="47" xfId="1" applyFont="1" applyFill="1" applyBorder="1" applyAlignment="1" applyProtection="1">
      <alignment horizontal="right" vertical="center"/>
      <protection locked="0"/>
    </xf>
    <xf numFmtId="0" fontId="6" fillId="4" borderId="48" xfId="1" applyFont="1" applyFill="1" applyBorder="1" applyAlignment="1">
      <alignment horizontal="right" vertical="center"/>
    </xf>
    <xf numFmtId="0" fontId="6" fillId="7" borderId="15" xfId="1" applyFont="1" applyFill="1" applyBorder="1" applyAlignment="1">
      <alignment horizontal="right" vertical="center"/>
    </xf>
    <xf numFmtId="0" fontId="6" fillId="7" borderId="16" xfId="1" applyFont="1" applyFill="1" applyBorder="1" applyAlignment="1">
      <alignment horizontal="right" vertical="center"/>
    </xf>
    <xf numFmtId="0" fontId="6" fillId="7" borderId="42" xfId="1" applyFont="1" applyFill="1" applyBorder="1" applyAlignment="1">
      <alignment horizontal="right" vertical="center"/>
    </xf>
    <xf numFmtId="0" fontId="6" fillId="7" borderId="43" xfId="1" applyFont="1" applyFill="1" applyBorder="1" applyAlignment="1">
      <alignment horizontal="right" vertical="center"/>
    </xf>
    <xf numFmtId="9" fontId="6" fillId="4" borderId="45" xfId="1" applyNumberFormat="1" applyFont="1" applyFill="1" applyBorder="1" applyAlignment="1" applyProtection="1">
      <alignment horizontal="right" vertical="center"/>
      <protection locked="0"/>
    </xf>
    <xf numFmtId="9" fontId="6" fillId="4" borderId="46" xfId="1" applyNumberFormat="1" applyFont="1" applyFill="1" applyBorder="1" applyAlignment="1" applyProtection="1">
      <alignment horizontal="right" vertical="center"/>
      <protection locked="0"/>
    </xf>
    <xf numFmtId="9" fontId="6" fillId="4" borderId="47" xfId="1" applyNumberFormat="1" applyFont="1" applyFill="1" applyBorder="1" applyAlignment="1" applyProtection="1">
      <alignment horizontal="right" vertical="center"/>
      <protection locked="0"/>
    </xf>
    <xf numFmtId="9" fontId="6" fillId="4" borderId="48" xfId="1" applyNumberFormat="1" applyFont="1" applyFill="1" applyBorder="1" applyAlignment="1">
      <alignment horizontal="right" vertical="center"/>
    </xf>
    <xf numFmtId="9" fontId="6" fillId="7" borderId="15" xfId="1" applyNumberFormat="1" applyFont="1" applyFill="1" applyBorder="1" applyAlignment="1">
      <alignment horizontal="right" vertical="center"/>
    </xf>
    <xf numFmtId="9" fontId="6" fillId="7" borderId="16" xfId="1" applyNumberFormat="1" applyFont="1" applyFill="1" applyBorder="1" applyAlignment="1">
      <alignment horizontal="right" vertical="center"/>
    </xf>
    <xf numFmtId="9" fontId="6" fillId="7" borderId="42" xfId="1" applyNumberFormat="1" applyFont="1" applyFill="1" applyBorder="1" applyAlignment="1">
      <alignment horizontal="right" vertical="center"/>
    </xf>
    <xf numFmtId="9" fontId="6" fillId="7" borderId="43" xfId="1" applyNumberFormat="1" applyFont="1" applyFill="1" applyBorder="1" applyAlignment="1">
      <alignment horizontal="right" vertical="center"/>
    </xf>
    <xf numFmtId="0" fontId="6" fillId="4" borderId="7" xfId="1" applyFont="1" applyFill="1" applyBorder="1" applyAlignment="1" applyProtection="1">
      <alignment horizontal="right" vertical="center"/>
      <protection locked="0"/>
    </xf>
    <xf numFmtId="0" fontId="6" fillId="4" borderId="8" xfId="1" applyFont="1" applyFill="1" applyBorder="1" applyAlignment="1">
      <alignment horizontal="right" vertical="center"/>
    </xf>
    <xf numFmtId="9" fontId="6" fillId="4" borderId="8" xfId="1" applyNumberFormat="1" applyFont="1" applyFill="1" applyBorder="1" applyAlignment="1">
      <alignment horizontal="right" vertical="center"/>
    </xf>
    <xf numFmtId="9" fontId="6" fillId="4" borderId="9" xfId="1" applyNumberFormat="1" applyFont="1" applyFill="1" applyBorder="1" applyAlignment="1">
      <alignment horizontal="right" vertical="center"/>
    </xf>
    <xf numFmtId="0" fontId="6" fillId="5" borderId="11" xfId="1" applyFont="1" applyFill="1" applyBorder="1" applyAlignment="1">
      <alignment horizontal="right" vertical="center"/>
    </xf>
    <xf numFmtId="0" fontId="6" fillId="5" borderId="12" xfId="1" applyFont="1" applyFill="1" applyBorder="1" applyAlignment="1">
      <alignment horizontal="right" vertical="center"/>
    </xf>
    <xf numFmtId="9" fontId="6" fillId="5" borderId="12" xfId="1" applyNumberFormat="1" applyFont="1" applyFill="1" applyBorder="1" applyAlignment="1">
      <alignment horizontal="right" vertical="center"/>
    </xf>
    <xf numFmtId="9" fontId="6" fillId="5" borderId="13" xfId="1" applyNumberFormat="1" applyFont="1" applyFill="1" applyBorder="1" applyAlignment="1">
      <alignment horizontal="right" vertical="center"/>
    </xf>
    <xf numFmtId="9" fontId="6" fillId="7" borderId="17" xfId="1" applyNumberFormat="1" applyFont="1" applyFill="1" applyBorder="1" applyAlignment="1">
      <alignment horizontal="right" vertical="center"/>
    </xf>
    <xf numFmtId="0" fontId="6" fillId="0" borderId="0" xfId="1" quotePrefix="1" applyFont="1">
      <alignment vertical="center"/>
    </xf>
    <xf numFmtId="0" fontId="5" fillId="0" borderId="0" xfId="1" quotePrefix="1" applyFont="1">
      <alignment vertical="center"/>
    </xf>
    <xf numFmtId="0" fontId="14" fillId="0" borderId="0" xfId="2">
      <alignment vertical="center"/>
    </xf>
    <xf numFmtId="0" fontId="7" fillId="0" borderId="0" xfId="1" applyFont="1" applyAlignment="1">
      <alignment horizontal="right" vertical="center"/>
    </xf>
    <xf numFmtId="0" fontId="14" fillId="0" borderId="0" xfId="2" quotePrefix="1">
      <alignment vertical="center"/>
    </xf>
    <xf numFmtId="0" fontId="6" fillId="2" borderId="78" xfId="1" applyFont="1" applyFill="1" applyBorder="1" applyAlignment="1">
      <alignment horizontal="center" vertical="center"/>
    </xf>
    <xf numFmtId="0" fontId="6" fillId="2" borderId="62" xfId="1" applyFont="1" applyFill="1" applyBorder="1" applyAlignment="1">
      <alignment horizontal="center" vertical="center"/>
    </xf>
    <xf numFmtId="0" fontId="6" fillId="0" borderId="71" xfId="1" applyFont="1" applyBorder="1">
      <alignment vertical="center"/>
    </xf>
    <xf numFmtId="0" fontId="6" fillId="0" borderId="72" xfId="1" applyFont="1" applyBorder="1">
      <alignment vertical="center"/>
    </xf>
    <xf numFmtId="0" fontId="5" fillId="0" borderId="72" xfId="1" applyFont="1" applyBorder="1">
      <alignment vertical="center"/>
    </xf>
    <xf numFmtId="0" fontId="5" fillId="0" borderId="63" xfId="1" applyFont="1" applyBorder="1">
      <alignment vertical="center"/>
    </xf>
    <xf numFmtId="0" fontId="5" fillId="0" borderId="64" xfId="1" applyFont="1" applyBorder="1">
      <alignment vertical="center"/>
    </xf>
    <xf numFmtId="0" fontId="6" fillId="4" borderId="82" xfId="1" applyFont="1" applyFill="1" applyBorder="1" applyAlignment="1" applyProtection="1">
      <alignment horizontal="center" vertical="center"/>
      <protection locked="0"/>
    </xf>
    <xf numFmtId="0" fontId="6" fillId="4" borderId="66" xfId="1" applyFont="1" applyFill="1" applyBorder="1" applyAlignment="1" applyProtection="1">
      <alignment horizontal="center" vertical="center"/>
      <protection locked="0"/>
    </xf>
    <xf numFmtId="0" fontId="6" fillId="4" borderId="83" xfId="1" applyFont="1" applyFill="1" applyBorder="1" applyAlignment="1" applyProtection="1">
      <alignment horizontal="center" vertical="center"/>
      <protection locked="0"/>
    </xf>
    <xf numFmtId="0" fontId="6" fillId="4" borderId="67" xfId="1" applyFont="1" applyFill="1" applyBorder="1" applyAlignment="1" applyProtection="1">
      <alignment horizontal="center" vertical="center"/>
      <protection locked="0"/>
    </xf>
    <xf numFmtId="0" fontId="6" fillId="4" borderId="84" xfId="1" applyFont="1" applyFill="1" applyBorder="1" applyAlignment="1" applyProtection="1">
      <alignment horizontal="center" vertical="center"/>
      <protection locked="0"/>
    </xf>
    <xf numFmtId="0" fontId="6" fillId="4" borderId="68" xfId="1" applyFont="1" applyFill="1" applyBorder="1" applyAlignment="1" applyProtection="1">
      <alignment horizontal="center" vertical="center"/>
      <protection locked="0"/>
    </xf>
    <xf numFmtId="0" fontId="6" fillId="4" borderId="57" xfId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64" xfId="1" applyFont="1" applyFill="1" applyBorder="1" applyAlignment="1">
      <alignment horizontal="center" vertical="center"/>
    </xf>
    <xf numFmtId="0" fontId="5" fillId="2" borderId="59" xfId="1" applyFont="1" applyFill="1" applyBorder="1" applyAlignment="1">
      <alignment horizontal="center" vertical="center"/>
    </xf>
    <xf numFmtId="0" fontId="5" fillId="2" borderId="60" xfId="1" applyFont="1" applyFill="1" applyBorder="1" applyAlignment="1">
      <alignment horizontal="center" vertical="center"/>
    </xf>
    <xf numFmtId="0" fontId="5" fillId="2" borderId="64" xfId="1" applyFont="1" applyFill="1" applyBorder="1" applyAlignment="1">
      <alignment horizontal="center" vertical="center"/>
    </xf>
    <xf numFmtId="0" fontId="5" fillId="2" borderId="77" xfId="1" applyFont="1" applyFill="1" applyBorder="1" applyAlignment="1">
      <alignment horizontal="center" vertical="center"/>
    </xf>
    <xf numFmtId="0" fontId="5" fillId="2" borderId="61" xfId="1" applyFont="1" applyFill="1" applyBorder="1" applyAlignment="1">
      <alignment horizontal="center" vertical="center"/>
    </xf>
    <xf numFmtId="0" fontId="5" fillId="2" borderId="65" xfId="1" applyFont="1" applyFill="1" applyBorder="1" applyAlignment="1">
      <alignment horizontal="center" vertical="center"/>
    </xf>
    <xf numFmtId="0" fontId="6" fillId="4" borderId="54" xfId="1" applyFont="1" applyFill="1" applyBorder="1" applyAlignment="1" applyProtection="1">
      <alignment horizontal="center" vertical="center"/>
      <protection locked="0"/>
    </xf>
    <xf numFmtId="0" fontId="6" fillId="4" borderId="55" xfId="1" applyFont="1" applyFill="1" applyBorder="1" applyAlignment="1" applyProtection="1">
      <alignment horizontal="center" vertical="center"/>
      <protection locked="0"/>
    </xf>
    <xf numFmtId="0" fontId="6" fillId="4" borderId="56" xfId="1" applyFont="1" applyFill="1" applyBorder="1" applyAlignment="1" applyProtection="1">
      <alignment horizontal="center" vertical="center"/>
      <protection locked="0"/>
    </xf>
    <xf numFmtId="0" fontId="6" fillId="4" borderId="69" xfId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6" fillId="0" borderId="58" xfId="1" applyFont="1" applyBorder="1" applyAlignment="1">
      <alignment horizontal="left" vertical="center" wrapText="1"/>
    </xf>
    <xf numFmtId="0" fontId="6" fillId="0" borderId="59" xfId="1" applyFont="1" applyBorder="1" applyAlignment="1">
      <alignment horizontal="left" vertical="center" wrapText="1"/>
    </xf>
    <xf numFmtId="0" fontId="6" fillId="0" borderId="60" xfId="1" applyFont="1" applyBorder="1" applyAlignment="1">
      <alignment horizontal="left" vertical="center" wrapText="1"/>
    </xf>
    <xf numFmtId="0" fontId="6" fillId="0" borderId="51" xfId="1" applyFont="1" applyBorder="1" applyAlignment="1">
      <alignment horizontal="left" vertical="center" wrapText="1"/>
    </xf>
    <xf numFmtId="0" fontId="6" fillId="0" borderId="52" xfId="1" applyFont="1" applyBorder="1" applyAlignment="1">
      <alignment horizontal="left" vertical="center" wrapText="1"/>
    </xf>
    <xf numFmtId="0" fontId="6" fillId="0" borderId="53" xfId="1" applyFont="1" applyBorder="1" applyAlignment="1">
      <alignment horizontal="left" vertical="center" wrapText="1"/>
    </xf>
    <xf numFmtId="0" fontId="6" fillId="2" borderId="78" xfId="1" applyFont="1" applyFill="1" applyBorder="1" applyAlignment="1">
      <alignment horizontal="center" vertical="center" textRotation="255" readingOrder="2"/>
    </xf>
    <xf numFmtId="0" fontId="6" fillId="2" borderId="49" xfId="1" applyFont="1" applyFill="1" applyBorder="1" applyAlignment="1">
      <alignment horizontal="center" vertical="center" textRotation="255" readingOrder="2"/>
    </xf>
    <xf numFmtId="0" fontId="6" fillId="2" borderId="74" xfId="1" applyFont="1" applyFill="1" applyBorder="1" applyAlignment="1">
      <alignment horizontal="center" vertical="center" textRotation="255" readingOrder="2"/>
    </xf>
    <xf numFmtId="0" fontId="6" fillId="2" borderId="80" xfId="1" applyFont="1" applyFill="1" applyBorder="1" applyAlignment="1">
      <alignment horizontal="center" vertical="center" textRotation="255" readingOrder="2"/>
    </xf>
    <xf numFmtId="0" fontId="6" fillId="0" borderId="3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58" xfId="1" applyFont="1" applyBorder="1" applyAlignment="1">
      <alignment horizontal="left" vertical="center" wrapText="1"/>
    </xf>
    <xf numFmtId="0" fontId="5" fillId="0" borderId="59" xfId="1" applyFont="1" applyBorder="1" applyAlignment="1">
      <alignment horizontal="left" vertical="center" wrapText="1"/>
    </xf>
    <xf numFmtId="0" fontId="5" fillId="0" borderId="60" xfId="1" applyFont="1" applyBorder="1" applyAlignment="1">
      <alignment horizontal="left" vertical="center" wrapText="1"/>
    </xf>
    <xf numFmtId="0" fontId="5" fillId="0" borderId="51" xfId="1" applyFont="1" applyBorder="1" applyAlignment="1">
      <alignment horizontal="left" vertical="center" wrapText="1"/>
    </xf>
    <xf numFmtId="0" fontId="5" fillId="0" borderId="52" xfId="1" applyFont="1" applyBorder="1" applyAlignment="1">
      <alignment horizontal="left" vertical="center" wrapText="1"/>
    </xf>
    <xf numFmtId="0" fontId="5" fillId="0" borderId="53" xfId="1" applyFont="1" applyBorder="1" applyAlignment="1">
      <alignment horizontal="left" vertical="center" wrapText="1"/>
    </xf>
    <xf numFmtId="0" fontId="5" fillId="0" borderId="6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7" fillId="0" borderId="0" xfId="1" quotePrefix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4" borderId="85" xfId="1" applyFont="1" applyFill="1" applyBorder="1" applyAlignment="1">
      <alignment horizontal="center" vertical="center"/>
    </xf>
    <xf numFmtId="9" fontId="6" fillId="4" borderId="57" xfId="1" applyNumberFormat="1" applyFont="1" applyFill="1" applyBorder="1" applyAlignment="1">
      <alignment horizontal="center" vertical="center"/>
    </xf>
    <xf numFmtId="9" fontId="6" fillId="4" borderId="69" xfId="1" applyNumberFormat="1" applyFont="1" applyFill="1" applyBorder="1" applyAlignment="1">
      <alignment horizontal="center" vertical="center"/>
    </xf>
    <xf numFmtId="0" fontId="6" fillId="4" borderId="86" xfId="1" applyFont="1" applyFill="1" applyBorder="1" applyAlignment="1">
      <alignment horizontal="center" vertical="center"/>
    </xf>
    <xf numFmtId="0" fontId="6" fillId="4" borderId="4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center" vertical="center"/>
    </xf>
    <xf numFmtId="0" fontId="5" fillId="2" borderId="53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6" fillId="0" borderId="71" xfId="1" applyFont="1" applyBorder="1" applyAlignment="1">
      <alignment horizontal="center" vertical="center"/>
    </xf>
    <xf numFmtId="0" fontId="6" fillId="0" borderId="72" xfId="1" applyFont="1" applyBorder="1" applyAlignment="1">
      <alignment horizontal="center" vertical="center"/>
    </xf>
    <xf numFmtId="0" fontId="6" fillId="0" borderId="71" xfId="1" applyFont="1" applyBorder="1" applyAlignment="1">
      <alignment horizontal="left" vertical="center" wrapText="1"/>
    </xf>
    <xf numFmtId="0" fontId="6" fillId="0" borderId="72" xfId="1" applyFont="1" applyBorder="1" applyAlignment="1">
      <alignment horizontal="left" vertical="center" wrapText="1"/>
    </xf>
    <xf numFmtId="0" fontId="6" fillId="0" borderId="79" xfId="1" applyFont="1" applyBorder="1" applyAlignment="1">
      <alignment horizontal="left" vertical="center" wrapText="1"/>
    </xf>
    <xf numFmtId="0" fontId="5" fillId="0" borderId="40" xfId="1" applyFont="1" applyBorder="1" applyAlignment="1">
      <alignment horizontal="center" vertical="center"/>
    </xf>
    <xf numFmtId="0" fontId="6" fillId="4" borderId="41" xfId="1" applyFont="1" applyFill="1" applyBorder="1" applyAlignment="1" applyProtection="1">
      <alignment horizontal="center" vertical="center"/>
      <protection locked="0"/>
    </xf>
    <xf numFmtId="0" fontId="6" fillId="4" borderId="16" xfId="1" applyFont="1" applyFill="1" applyBorder="1" applyAlignment="1" applyProtection="1">
      <alignment horizontal="center" vertical="center"/>
      <protection locked="0"/>
    </xf>
    <xf numFmtId="0" fontId="6" fillId="4" borderId="42" xfId="1" applyFont="1" applyFill="1" applyBorder="1" applyAlignment="1" applyProtection="1">
      <alignment horizontal="center" vertical="center"/>
      <protection locked="0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left" vertical="center"/>
    </xf>
    <xf numFmtId="0" fontId="6" fillId="0" borderId="63" xfId="1" applyFont="1" applyBorder="1" applyAlignment="1">
      <alignment horizontal="left" vertical="center"/>
    </xf>
    <xf numFmtId="0" fontId="6" fillId="0" borderId="64" xfId="1" applyFont="1" applyBorder="1" applyAlignment="1">
      <alignment horizontal="left" vertical="center"/>
    </xf>
    <xf numFmtId="0" fontId="5" fillId="0" borderId="59" xfId="1" applyFont="1" applyBorder="1" applyAlignment="1">
      <alignment horizontal="left" vertical="center"/>
    </xf>
    <xf numFmtId="0" fontId="5" fillId="0" borderId="60" xfId="1" applyFont="1" applyBorder="1" applyAlignment="1">
      <alignment horizontal="left" vertical="center"/>
    </xf>
    <xf numFmtId="0" fontId="5" fillId="0" borderId="64" xfId="1" applyFont="1" applyBorder="1" applyAlignment="1">
      <alignment horizontal="left" vertical="center"/>
    </xf>
    <xf numFmtId="0" fontId="5" fillId="0" borderId="77" xfId="1" applyFont="1" applyBorder="1" applyAlignment="1">
      <alignment horizontal="left" vertical="center"/>
    </xf>
    <xf numFmtId="9" fontId="6" fillId="4" borderId="54" xfId="1" applyNumberFormat="1" applyFont="1" applyFill="1" applyBorder="1" applyAlignment="1" applyProtection="1">
      <alignment horizontal="center" vertical="center"/>
      <protection locked="0"/>
    </xf>
    <xf numFmtId="9" fontId="6" fillId="4" borderId="66" xfId="1" applyNumberFormat="1" applyFont="1" applyFill="1" applyBorder="1" applyAlignment="1" applyProtection="1">
      <alignment horizontal="center" vertical="center"/>
      <protection locked="0"/>
    </xf>
    <xf numFmtId="9" fontId="6" fillId="4" borderId="55" xfId="1" applyNumberFormat="1" applyFont="1" applyFill="1" applyBorder="1" applyAlignment="1" applyProtection="1">
      <alignment horizontal="center" vertical="center"/>
      <protection locked="0"/>
    </xf>
    <xf numFmtId="9" fontId="6" fillId="4" borderId="67" xfId="1" applyNumberFormat="1" applyFont="1" applyFill="1" applyBorder="1" applyAlignment="1" applyProtection="1">
      <alignment horizontal="center" vertical="center"/>
      <protection locked="0"/>
    </xf>
    <xf numFmtId="9" fontId="6" fillId="4" borderId="56" xfId="1" applyNumberFormat="1" applyFont="1" applyFill="1" applyBorder="1" applyAlignment="1" applyProtection="1">
      <alignment horizontal="center" vertical="center"/>
      <protection locked="0"/>
    </xf>
    <xf numFmtId="9" fontId="6" fillId="4" borderId="68" xfId="1" applyNumberFormat="1" applyFont="1" applyFill="1" applyBorder="1" applyAlignment="1" applyProtection="1">
      <alignment horizontal="center" vertical="center"/>
      <protection locked="0"/>
    </xf>
    <xf numFmtId="0" fontId="6" fillId="2" borderId="74" xfId="1" applyFont="1" applyFill="1" applyBorder="1" applyAlignment="1">
      <alignment horizontal="center" vertical="center" textRotation="255"/>
    </xf>
    <xf numFmtId="0" fontId="6" fillId="2" borderId="49" xfId="1" applyFont="1" applyFill="1" applyBorder="1" applyAlignment="1">
      <alignment horizontal="center" vertical="center" textRotation="255"/>
    </xf>
    <xf numFmtId="0" fontId="6" fillId="2" borderId="62" xfId="1" applyFont="1" applyFill="1" applyBorder="1" applyAlignment="1">
      <alignment horizontal="center" vertical="center" textRotation="255"/>
    </xf>
    <xf numFmtId="0" fontId="6" fillId="0" borderId="38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50" xfId="1" applyFont="1" applyBorder="1" applyAlignment="1">
      <alignment horizontal="left" vertical="center" wrapText="1"/>
    </xf>
    <xf numFmtId="0" fontId="5" fillId="0" borderId="58" xfId="1" applyFont="1" applyBorder="1" applyAlignment="1">
      <alignment horizontal="left" vertical="center"/>
    </xf>
    <xf numFmtId="0" fontId="5" fillId="0" borderId="51" xfId="1" applyFont="1" applyBorder="1" applyAlignment="1">
      <alignment horizontal="left" vertical="center"/>
    </xf>
    <xf numFmtId="0" fontId="5" fillId="0" borderId="52" xfId="1" applyFont="1" applyBorder="1" applyAlignment="1">
      <alignment horizontal="left" vertical="center"/>
    </xf>
    <xf numFmtId="0" fontId="5" fillId="0" borderId="53" xfId="1" applyFont="1" applyBorder="1" applyAlignment="1">
      <alignment horizontal="left" vertical="center"/>
    </xf>
    <xf numFmtId="0" fontId="6" fillId="0" borderId="51" xfId="1" applyFont="1" applyBorder="1" applyAlignment="1">
      <alignment horizontal="left" vertical="center"/>
    </xf>
    <xf numFmtId="0" fontId="6" fillId="0" borderId="52" xfId="1" applyFont="1" applyBorder="1" applyAlignment="1">
      <alignment horizontal="left" vertical="center"/>
    </xf>
    <xf numFmtId="0" fontId="6" fillId="0" borderId="75" xfId="1" applyFont="1" applyBorder="1" applyAlignment="1">
      <alignment horizontal="left" vertical="center" wrapText="1"/>
    </xf>
    <xf numFmtId="49" fontId="6" fillId="0" borderId="58" xfId="1" applyNumberFormat="1" applyFont="1" applyBorder="1" applyAlignment="1">
      <alignment horizontal="left" vertical="center"/>
    </xf>
    <xf numFmtId="49" fontId="6" fillId="0" borderId="59" xfId="1" applyNumberFormat="1" applyFont="1" applyBorder="1" applyAlignment="1">
      <alignment horizontal="left" vertical="center"/>
    </xf>
    <xf numFmtId="49" fontId="6" fillId="0" borderId="51" xfId="1" applyNumberFormat="1" applyFont="1" applyBorder="1" applyAlignment="1">
      <alignment horizontal="left" vertical="center"/>
    </xf>
    <xf numFmtId="49" fontId="6" fillId="0" borderId="52" xfId="1" applyNumberFormat="1" applyFont="1" applyBorder="1" applyAlignment="1">
      <alignment horizontal="left" vertical="center"/>
    </xf>
    <xf numFmtId="49" fontId="6" fillId="0" borderId="61" xfId="1" applyNumberFormat="1" applyFont="1" applyBorder="1" applyAlignment="1">
      <alignment horizontal="center" vertical="center"/>
    </xf>
    <xf numFmtId="49" fontId="6" fillId="0" borderId="17" xfId="1" applyNumberFormat="1" applyFont="1" applyBorder="1" applyAlignment="1">
      <alignment horizontal="center" vertical="center"/>
    </xf>
    <xf numFmtId="0" fontId="6" fillId="0" borderId="38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40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5" fillId="0" borderId="59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6" fillId="4" borderId="87" xfId="1" applyFont="1" applyFill="1" applyBorder="1" applyAlignment="1">
      <alignment horizontal="center" vertical="center"/>
    </xf>
    <xf numFmtId="0" fontId="6" fillId="0" borderId="58" xfId="1" applyFont="1" applyBorder="1">
      <alignment vertical="center"/>
    </xf>
    <xf numFmtId="0" fontId="6" fillId="0" borderId="59" xfId="1" applyFont="1" applyBorder="1">
      <alignment vertical="center"/>
    </xf>
    <xf numFmtId="0" fontId="5" fillId="0" borderId="59" xfId="1" applyFont="1" applyBorder="1">
      <alignment vertical="center"/>
    </xf>
    <xf numFmtId="0" fontId="5" fillId="0" borderId="51" xfId="1" applyFont="1" applyBorder="1">
      <alignment vertical="center"/>
    </xf>
    <xf numFmtId="0" fontId="5" fillId="0" borderId="52" xfId="1" applyFont="1" applyBorder="1">
      <alignment vertical="center"/>
    </xf>
    <xf numFmtId="0" fontId="6" fillId="2" borderId="70" xfId="1" applyFont="1" applyFill="1" applyBorder="1" applyAlignment="1">
      <alignment horizontal="center" vertical="center" textRotation="255"/>
    </xf>
    <xf numFmtId="0" fontId="6" fillId="2" borderId="76" xfId="1" applyFont="1" applyFill="1" applyBorder="1" applyAlignment="1">
      <alignment horizontal="center" vertical="center" textRotation="255"/>
    </xf>
    <xf numFmtId="0" fontId="5" fillId="0" borderId="71" xfId="1" applyFont="1" applyBorder="1" applyAlignment="1">
      <alignment horizontal="left" vertical="center"/>
    </xf>
    <xf numFmtId="0" fontId="5" fillId="0" borderId="72" xfId="1" applyFont="1" applyBorder="1" applyAlignment="1">
      <alignment horizontal="left" vertical="center"/>
    </xf>
    <xf numFmtId="0" fontId="5" fillId="0" borderId="73" xfId="1" applyFont="1" applyBorder="1" applyAlignment="1">
      <alignment horizontal="left" vertical="center"/>
    </xf>
    <xf numFmtId="0" fontId="5" fillId="0" borderId="38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50" xfId="1" applyFont="1" applyBorder="1" applyAlignment="1">
      <alignment horizontal="left" vertical="center"/>
    </xf>
    <xf numFmtId="0" fontId="6" fillId="0" borderId="38" xfId="1" applyFont="1" applyBorder="1">
      <alignment vertical="center"/>
    </xf>
    <xf numFmtId="0" fontId="6" fillId="0" borderId="0" xfId="1" applyFont="1">
      <alignment vertical="center"/>
    </xf>
    <xf numFmtId="0" fontId="5" fillId="0" borderId="0" xfId="1" applyFont="1">
      <alignment vertical="center"/>
    </xf>
    <xf numFmtId="0" fontId="5" fillId="0" borderId="75" xfId="1" applyFont="1" applyBorder="1" applyAlignment="1">
      <alignment horizontal="left" vertical="center"/>
    </xf>
    <xf numFmtId="0" fontId="6" fillId="0" borderId="3" xfId="1" quotePrefix="1" applyFont="1" applyBorder="1" applyAlignment="1">
      <alignment vertical="center" shrinkToFit="1"/>
    </xf>
    <xf numFmtId="0" fontId="6" fillId="0" borderId="3" xfId="1" applyFont="1" applyBorder="1" applyAlignment="1">
      <alignment vertical="center" shrinkToFit="1"/>
    </xf>
    <xf numFmtId="0" fontId="6" fillId="3" borderId="18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6" fillId="4" borderId="27" xfId="1" applyFont="1" applyFill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top" wrapText="1"/>
    </xf>
    <xf numFmtId="0" fontId="6" fillId="2" borderId="5" xfId="1" applyFont="1" applyFill="1" applyBorder="1" applyAlignment="1">
      <alignment horizontal="center" vertical="top" wrapText="1"/>
    </xf>
    <xf numFmtId="0" fontId="6" fillId="2" borderId="34" xfId="1" applyFont="1" applyFill="1" applyBorder="1" applyAlignment="1">
      <alignment horizontal="center" vertical="center" wrapText="1"/>
    </xf>
    <xf numFmtId="0" fontId="6" fillId="2" borderId="49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6" fillId="0" borderId="35" xfId="1" applyFont="1" applyBorder="1" applyAlignment="1">
      <alignment horizontal="left" vertical="center"/>
    </xf>
    <xf numFmtId="0" fontId="6" fillId="0" borderId="36" xfId="1" applyFont="1" applyBorder="1" applyAlignment="1">
      <alignment horizontal="left" vertical="center"/>
    </xf>
    <xf numFmtId="0" fontId="6" fillId="0" borderId="37" xfId="1" applyFont="1" applyBorder="1" applyAlignment="1">
      <alignment horizontal="left" vertical="center"/>
    </xf>
    <xf numFmtId="0" fontId="6" fillId="0" borderId="50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9" xfId="1" applyFont="1" applyBorder="1" applyAlignment="1">
      <alignment horizontal="left" vertical="center"/>
    </xf>
    <xf numFmtId="0" fontId="6" fillId="4" borderId="41" xfId="1" quotePrefix="1" applyFont="1" applyFill="1" applyBorder="1" applyAlignment="1" applyProtection="1">
      <alignment horizontal="center" vertical="center"/>
      <protection locked="0"/>
    </xf>
    <xf numFmtId="0" fontId="6" fillId="4" borderId="16" xfId="1" quotePrefix="1" applyFont="1" applyFill="1" applyBorder="1" applyAlignment="1" applyProtection="1">
      <alignment horizontal="center" vertical="center"/>
      <protection locked="0"/>
    </xf>
    <xf numFmtId="0" fontId="6" fillId="4" borderId="42" xfId="1" quotePrefix="1" applyFont="1" applyFill="1" applyBorder="1" applyAlignment="1" applyProtection="1">
      <alignment horizontal="center" vertical="center"/>
      <protection locked="0"/>
    </xf>
    <xf numFmtId="0" fontId="6" fillId="4" borderId="43" xfId="1" quotePrefix="1" applyFont="1" applyFill="1" applyBorder="1" applyAlignment="1">
      <alignment horizontal="center" vertical="center"/>
    </xf>
    <xf numFmtId="0" fontId="6" fillId="3" borderId="18" xfId="1" quotePrefix="1" applyFont="1" applyFill="1" applyBorder="1" applyAlignment="1">
      <alignment horizontal="center" vertical="center"/>
    </xf>
  </cellXfs>
  <cellStyles count="3">
    <cellStyle name="標準" xfId="0" builtinId="0"/>
    <cellStyle name="標準 2" xfId="2" xr:uid="{47A14474-B1A7-4952-98AC-D789F5A73CB5}"/>
    <cellStyle name="標準 2 2 2" xfId="1" xr:uid="{CCE686C0-898B-4436-89AB-7A5A5EEE7D3E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（元請別）02"/>
      <sheetName val="本番稼動体制oct_2nd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  <sheetName val="QA表"/>
      <sheetName val="状況確認"/>
      <sheetName val="運用方法"/>
      <sheetName val="気象データファイル構造"/>
      <sheetName val="No442"/>
      <sheetName val="No.464"/>
      <sheetName val="基礎情報"/>
      <sheetName val="参照"/>
      <sheetName val="選択肢"/>
      <sheetName val="機能一覧"/>
      <sheetName val="入力候補"/>
      <sheetName val="区分"/>
      <sheetName val="toCAP社"/>
      <sheetName val="toIT開発"/>
      <sheetName val="Sheet3"/>
      <sheetName val="060_hct"/>
      <sheetName val="2017年3月~2018年3月の増減者の成績"/>
      <sheetName val="nn-00"/>
      <sheetName val="2_体制と役割"/>
      <sheetName val="3_2_資産管理部"/>
      <sheetName val="3_7_債権管理室"/>
      <sheetName val="規模試算(食品)_(統合)"/>
      <sheetName val="売上高一定額超企業数(食品系)_(old)"/>
      <sheetName val="売上高一定額超企業数(化学工業系)_(2)"/>
      <sheetName val="規模試算(食品)_(単独)"/>
      <sheetName val="規模試算(食品)_(業種別old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概略費用見積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  <sheetName val="プロパティ"/>
      <sheetName val="シナリオ"/>
      <sheetName val="シナリオ別進捗(代表6社以外)"/>
      <sheetName val="表紙"/>
      <sheetName val="Sheet2"/>
      <sheetName val="レポートレイアウト"/>
      <sheetName val="移動タイプ"/>
      <sheetName val="予算案"/>
      <sheetName val="リスト値"/>
      <sheetName val="SHT_HYOKA"/>
      <sheetName val="SHT_HANNBAI"/>
      <sheetName val="SHT_TUUKA"/>
      <sheetName val="SHT_TANI"/>
      <sheetName val="SHT_JYTRYU"/>
      <sheetName val="SHT_DENPYO"/>
      <sheetName val="選択リスト"/>
      <sheetName val="桁数チェック用"/>
      <sheetName val="単位選択値"/>
      <sheetName val="販売組織選択値"/>
      <sheetName val="受注理由選択値"/>
      <sheetName val="参考情報"/>
      <sheetName val="REF"/>
      <sheetName val="ePS不具合管理・変更管理"/>
      <sheetName val="（凡例）"/>
      <sheetName val="Sheet3"/>
      <sheetName val="Master"/>
      <sheetName val="ms"/>
      <sheetName val="マスタ"/>
      <sheetName val="設定値シート"/>
      <sheetName val="項目マッピング(サンプル)"/>
      <sheetName val="プロセス一覧"/>
      <sheetName val="Estimator Base"/>
      <sheetName val="設定シート"/>
      <sheetName val="ステータス"/>
      <sheetName val="Dic"/>
      <sheetName val="時間Track"/>
      <sheetName val="Team"/>
      <sheetName val="リスト (2)"/>
      <sheetName val="外部品目グループ"/>
      <sheetName val="研究室・設計室"/>
      <sheetName val="利益センタ"/>
      <sheetName val="機能設計書 （内容説明）"/>
      <sheetName val="Pattern Definition"/>
      <sheetName val="管理用"/>
      <sheetName val="Lov"/>
      <sheetName val="属性一覧"/>
      <sheetName val="リスト情報"/>
      <sheetName val="コード値(コード順) "/>
      <sheetName val="コード値（標準）"/>
      <sheetName val="別紙（自動決済分割）"/>
      <sheetName val="UC0010"/>
      <sheetName val="もと"/>
      <sheetName val="リストデータ設定シート"/>
      <sheetName val="(Status Definition)"/>
      <sheetName val="Config"/>
      <sheetName val="datalist"/>
      <sheetName val="OTSearchingReport1"/>
      <sheetName val="複写ｼｰﾄ"/>
      <sheetName val="TJ6P002Z(チェック項目一覧)"/>
      <sheetName val="コード値変換リスト(※編集不可)"/>
      <sheetName val="粗利"/>
      <sheetName val="予約想定ﾚｰﾄ(USD)"/>
      <sheetName val="MAIN"/>
      <sheetName val="KENOGARD"/>
      <sheetName val="GRAFICOS"/>
      <sheetName val="SCC+VBC"/>
      <sheetName val="八月份CO号"/>
      <sheetName val="supplement"/>
      <sheetName val="プラント情報"/>
      <sheetName val="예금명세"/>
      <sheetName val="記入方法"/>
      <sheetName val="コード表"/>
      <sheetName val="ステータス・進捗"/>
      <sheetName val="Interface_List"/>
      <sheetName val="備考"/>
      <sheetName val="支払条件（仕入先）"/>
      <sheetName val="抜け"/>
      <sheetName val="サイトコード・名"/>
      <sheetName val="統制勘定コード"/>
      <sheetName val="JANコード生成ツール"/>
      <sheetName val="凡例"/>
      <sheetName val="BCP_状況"/>
      <sheetName val="コンディション一覧(経理)"/>
      <sheetName val="プロンプト一覧"/>
      <sheetName val="納品対象外 セレクトデータ"/>
      <sheetName val="サマリ"/>
      <sheetName val="ＩＰアドレス定義"/>
      <sheetName val="諸定義&amp;保守"/>
      <sheetName val="調査シート"/>
      <sheetName val="DATA"/>
      <sheetName val="項目一覧"/>
      <sheetName val="リスト（非表示）"/>
      <sheetName val="貼り付け用"/>
      <sheetName val="作業者→ロール"/>
      <sheetName val="内部マスタテーブル"/>
      <sheetName val="テーマ別"/>
      <sheetName val="区分"/>
      <sheetName val="☆管理項目定義"/>
      <sheetName val="Package"/>
      <sheetName val="Param"/>
      <sheetName val="ロール一覧"/>
      <sheetName val="リリース依頼書"/>
      <sheetName val="選択肢"/>
      <sheetName val="ＶＢＡ定義"/>
      <sheetName val="TBL"/>
      <sheetName val="入力リスト"/>
      <sheetName val="プルダウンリスト"/>
      <sheetName val="選択値"/>
      <sheetName val="指定可能値"/>
      <sheetName val="入力可能値"/>
      <sheetName val="選択可能値"/>
      <sheetName val="3.指定可能値"/>
      <sheetName val="データリスト"/>
      <sheetName val="2000"/>
      <sheetName val="2001"/>
      <sheetName val="items"/>
      <sheetName val="１．InfoCube_(YKCH0010)案１"/>
      <sheetName val="値リスト"/>
      <sheetName val="現行DB一覧2(CT)"/>
      <sheetName val="ＤＩＡＳ拡張ＰＪ　2013年"/>
      <sheetName val="予算シート確認"/>
      <sheetName val="原価要素"/>
      <sheetName val="Cover_Cheet"/>
      <sheetName val="WBS一覧"/>
      <sheetName val="各社別課金"/>
      <sheetName val="期首予算対比"/>
      <sheetName val="入力規則(リスト)"/>
      <sheetName val="Cover_Cheet (変更前)"/>
      <sheetName val="Cover_Cheet（変更後）"/>
      <sheetName val="領域マスタ"/>
      <sheetName val="Cover_Cheet（実績＋落ち着き）"/>
      <sheetName val="参考)日付関連"/>
      <sheetName val="件数集計"/>
      <sheetName val="【編集禁止】MST"/>
      <sheetName val="Value"/>
      <sheetName val="【2】変更履歴"/>
      <sheetName val="TechSpec"/>
      <sheetName val="Resource"/>
      <sheetName val=""/>
      <sheetName val="データ入力規則"/>
      <sheetName val="（参考）国コード"/>
      <sheetName val="入力項目"/>
      <sheetName val="Cover"/>
      <sheetName val="Change History"/>
      <sheetName val="UT-Core"/>
      <sheetName val="Test Scenario"/>
      <sheetName val="Execution Result(1-1)"/>
      <sheetName val="Execution Result(1-2)"/>
      <sheetName val="Execution Result(1-3)"/>
      <sheetName val="Execution Result(1-4)"/>
      <sheetName val="Execution Result(1-5)"/>
      <sheetName val="Execution Result(1-6)"/>
      <sheetName val="Execution Result(1-7)"/>
      <sheetName val="Execution Result(1-8-1)"/>
      <sheetName val="Execution Result(1-8-2)"/>
      <sheetName val="Execution Result(1-9)"/>
      <sheetName val="Execution Result(1-10)"/>
      <sheetName val="Execution Result(1-11)"/>
      <sheetName val="Execution Result(1-12-1)"/>
      <sheetName val="Execution Result(1-12-2)"/>
      <sheetName val="参照TBL)開発対象一覧"/>
      <sheetName val="元ネタ"/>
      <sheetName val="XXXX"/>
      <sheetName val="0915"/>
      <sheetName val="0926"/>
      <sheetName val="0937"/>
      <sheetName val="0974"/>
      <sheetName val="0991"/>
      <sheetName val="0992"/>
      <sheetName val="１．InfoCube_(YKCH0010)_案２"/>
      <sheetName val="Cover_Cheet_(変更前)"/>
      <sheetName val="Status"/>
      <sheetName val="Delete Prohibition"/>
      <sheetName val="定義"/>
      <sheetName val="407_408_409条件グループ234"/>
      <sheetName val="特定業種区分"/>
      <sheetName val="売上組織"/>
      <sheetName val="参照指標"/>
      <sheetName val="向先分類"/>
      <sheetName val="1084_顧客グループ"/>
      <sheetName val="国コード"/>
      <sheetName val="（参考）仕入先支払条件_支払方法"/>
      <sheetName val="（参考）得意先支払条件_支払方法"/>
      <sheetName val="（参考）銀行コード"/>
      <sheetName val="（参照）連続番号&amp;支払期日シフトフラグ"/>
      <sheetName val="Sheet4"/>
      <sheetName val="１．InfoCube_(YKCH0010)案１1"/>
      <sheetName val="１．InfoCube_(YKCH0010)_案２1"/>
      <sheetName val="Estimator_Base"/>
      <sheetName val="リスト_(2)"/>
      <sheetName val="機能設計書_（内容説明）"/>
      <sheetName val="Pattern_Definition"/>
      <sheetName val="コード値(コード順)_"/>
      <sheetName val="(Status_Definition)"/>
      <sheetName val="納品対象外_セレクトデータ"/>
      <sheetName val="3_指定可能値"/>
      <sheetName val="Cover_Cheet_(変更前)1"/>
      <sheetName val="Change_History"/>
      <sheetName val="Test_Scenario"/>
      <sheetName val="Execution_Result(1-1)"/>
      <sheetName val="Execution_Result(1-2)"/>
      <sheetName val="Execution_Result(1-3)"/>
      <sheetName val="Execution_Result(1-4)"/>
      <sheetName val="Execution_Result(1-5)"/>
      <sheetName val="Execution_Result(1-6)"/>
      <sheetName val="Execution_Result(1-7)"/>
      <sheetName val="Execution_Result(1-8-1)"/>
      <sheetName val="Execution_Result(1-8-2)"/>
      <sheetName val="Execution_Result(1-9)"/>
      <sheetName val="Execution_Result(1-10)"/>
      <sheetName val="Execution_Result(1-11)"/>
      <sheetName val="Execution_Result(1-12-1)"/>
      <sheetName val="Execution_Result(1-12-2)"/>
      <sheetName val="Delete_Prohibition"/>
      <sheetName val="課題管理表"/>
      <sheetName val="小数点の扱い"/>
      <sheetName val="計算方法補足"/>
      <sheetName val="課題集計"/>
      <sheetName val="Promotion"/>
      <sheetName val="Day master"/>
      <sheetName val="Pricing tool"/>
      <sheetName val="Category list"/>
      <sheetName val="list_old"/>
      <sheetName val="変換表v1.03"/>
      <sheetName val="リスト値（販物）"/>
      <sheetName val="01．整備手順"/>
      <sheetName val="リスト・ステータス"/>
      <sheetName val="cgtap90"/>
      <sheetName val="改訂履歴"/>
      <sheetName val="2004上"/>
      <sheetName val="SCE"/>
      <sheetName val="2016損益予算最終版"/>
      <sheetName val="_list"/>
      <sheetName val="伝票タイプリスト（経理メンテ）"/>
      <sheetName val="通貨リスト（経理メンテ）"/>
      <sheetName val="源泉徴収ＣＤリスト（経理メンテ）"/>
      <sheetName val="支払条件、支払方法リスト"/>
      <sheetName val="税リスト（経理メンテ）"/>
      <sheetName val="利益センタ・原価センタリスト（経理メンテ）"/>
      <sheetName val="条件タイプ(産エネ)"/>
      <sheetName val="createdb1"/>
      <sheetName val="（ヘッダ）"/>
      <sheetName val="エビデンス (5回目)"/>
      <sheetName val="COVER PAGE"/>
      <sheetName val="Test Condition Description"/>
      <sheetName val="Doc History"/>
      <sheetName val="Source (0件)"/>
      <sheetName val="Result (0件)"/>
      <sheetName val="Source (1件)"/>
      <sheetName val="Target (1件)_ヘッダー"/>
      <sheetName val="Target (1件)_データ"/>
      <sheetName val="Result (1件)"/>
      <sheetName val="Source (複数件)"/>
      <sheetName val="Target (複数件)_ヘッダー"/>
      <sheetName val="Target (複数件)_データ"/>
      <sheetName val="Result (複数件)"/>
      <sheetName val="Source (複数件2)"/>
      <sheetName val="Target (複数件2)_ヘッダー"/>
      <sheetName val="Target (複数件2)_データ"/>
      <sheetName val="Result (複数件2)"/>
      <sheetName val="Source (バリデーション)"/>
      <sheetName val="Result (バリデーション)"/>
      <sheetName val="Data Type Format"/>
      <sheetName val="MTT Change History"/>
      <sheetName val="SingleByte"/>
      <sheetName val="DoubleByte"/>
      <sheetName val="DCONFIG"/>
      <sheetName val="SETUP_HIDDEN"/>
      <sheetName val="変更履歴"/>
      <sheetName val="テストシナリオ"/>
      <sheetName val="シナリオ共通テストデータ"/>
      <sheetName val="参考(現行データからの抽出SQL)"/>
      <sheetName val="実行結果(シナリオID-1)"/>
      <sheetName val="実行結果(シナリオID-2"/>
      <sheetName val="実行結果(シナリオID-3)"/>
      <sheetName val="実行結果(シナリオID-4)"/>
      <sheetName val="UT-Tech"/>
      <sheetName val="テストコンディション"/>
      <sheetName val="実行結果"/>
      <sheetName val="Revision History"/>
      <sheetName val="Function Description"/>
      <sheetName val="Selection Screen Specifications"/>
      <sheetName val="Selection Screen(Belize)"/>
      <sheetName val="InputOutput file (Flat)"/>
      <sheetName val="InputOutput file (multi)"/>
      <sheetName val="App Log"/>
      <sheetName val="Appendix(Fixed Value)"/>
      <sheetName val="Appendix(xxxx)"/>
      <sheetName val="Legend"/>
      <sheetName val="History"/>
      <sheetName val="実行結果(1)"/>
      <sheetName val="実行結果(2)"/>
      <sheetName val="実行結果(3)"/>
      <sheetName val="実行結果(2),(9)"/>
      <sheetName val="実行結果(3),(7)"/>
      <sheetName val="実行結果(4)"/>
      <sheetName val="実行結果(5)"/>
      <sheetName val="実行結果(6)"/>
      <sheetName val="実行結果(8),(10),(11)"/>
      <sheetName val="テストコンディション (2)"/>
      <sheetName val="実行結果(ADRC)"/>
      <sheetName val="実行結果(VBSN)"/>
      <sheetName val="プルダウン用"/>
      <sheetName val="フラグ"/>
      <sheetName val="担当者マスタ"/>
      <sheetName val="選択項目"/>
      <sheetName val="List(非表示)"/>
      <sheetName val="CoMPASS支払条件リスト"/>
      <sheetName val="一覧"/>
      <sheetName val="実行結果(未完了)"/>
      <sheetName val="SIR10942パターン一覧"/>
      <sheetName val="List Value"/>
      <sheetName val="total-mirroring"/>
      <sheetName val="Deta"/>
      <sheetName val="期末提出"/>
      <sheetName val="拠点&amp;工程コード案"/>
      <sheetName val="集計表.XLS"/>
      <sheetName val="①得意先マスタ（一般）整備台帳"/>
      <sheetName val="TOTAL0501"/>
      <sheetName val="00-11-アクションタイプ"/>
      <sheetName val="データ入力一覧"/>
      <sheetName val="リスト内容"/>
      <sheetName val="めも"/>
      <sheetName val="ＷＯＲＫ"/>
      <sheetName val="サービス（大）"/>
      <sheetName val="課金先"/>
      <sheetName val="プロジェクト（BI用）マスタ"/>
      <sheetName val="ソリューションマスタ"/>
      <sheetName val="入力規則"/>
      <sheetName val="来週並行配信"/>
      <sheetName val="来週並行配信終了"/>
      <sheetName val="来週業務切替"/>
      <sheetName val="ボトラー全体"/>
      <sheetName val="AC情報管理表"/>
      <sheetName val="共配センターマスタ（共通）"/>
      <sheetName val="チェック表"/>
      <sheetName val="CCEJ_0808"/>
      <sheetName val="部門一覧"/>
      <sheetName val="参照"/>
      <sheetName val="組織ロール"/>
      <sheetName val="settings"/>
      <sheetName val="delta"/>
      <sheetName val="Mapping Definition"/>
      <sheetName val="Appendix(エラーの出力)"/>
      <sheetName val="Observations"/>
      <sheetName val="Selection Screen"/>
      <sheetName val="Mapping Definition(ZPPT1008)"/>
      <sheetName val="Mapping Definition(LCSUS)"/>
      <sheetName val="API Specification"/>
      <sheetName val="IDOC Specifiction"/>
      <sheetName val="Appendix(IF target period)"/>
      <sheetName val="実行結果(7)"/>
      <sheetName val="実行結果(8)"/>
      <sheetName val="実行結果(9)"/>
      <sheetName val="テストコンディション "/>
      <sheetName val="テスト実行結果 1"/>
      <sheetName val="テスト実行結果 2"/>
      <sheetName val="テスト実行結果 3"/>
      <sheetName val="テスト実行結果 4"/>
      <sheetName val="テスト実行結果 5"/>
      <sheetName val="テスト実行結果 6"/>
      <sheetName val="実行結果_1"/>
      <sheetName val="実行結果_2"/>
      <sheetName val="実行結果 (3)"/>
      <sheetName val="実行結果_3"/>
      <sheetName val="実行結果_4"/>
      <sheetName val="実行結果_5"/>
      <sheetName val="実行結果_6"/>
      <sheetName val="実行結果_7"/>
      <sheetName val="移行手順"/>
      <sheetName val="項目マッピング"/>
      <sheetName val="Sheet5"/>
      <sheetName val="参考資料【コード値一覧】"/>
      <sheetName val="参考資料【管理項目】"/>
      <sheetName val="データ投入手順"/>
      <sheetName val="제조원가"/>
      <sheetName val="マスター"/>
      <sheetName val="MKPF(4.6C)"/>
      <sheetName val="01_システム機能要件"/>
      <sheetName val="02_システム関連図・IO関連図・処理フロー・画面フロー"/>
      <sheetName val="03_機能詳細説明"/>
      <sheetName val="04_画面レイアウト(選択画面)"/>
      <sheetName val="09_IF項目定義(納入明細)"/>
      <sheetName val="09_IF項目定義(諸掛明細) "/>
      <sheetName val="補足資料_【旧昭シ】参照番号"/>
      <sheetName val="補足資料_【Day2後】参照番号"/>
      <sheetName val="【記載例】01_システム機能要件"/>
      <sheetName val="【記載例（新製造基地）】01_システム機能要件"/>
      <sheetName val="【記載例】03_機能詳細説明"/>
      <sheetName val="【記載例】04_画面レイアウト(Dynpro)"/>
      <sheetName val="04_画面レイアウト (2)"/>
      <sheetName val="【記載例】05_レポート・帳票レイアウト(画面)"/>
      <sheetName val="【記載例】05_レポート・帳票レイアウト（紙)"/>
      <sheetName val="【記載例】06_帳票定義（横）"/>
      <sheetName val="07_コールトランザクション (2)"/>
      <sheetName val="【記載例】09_IF項目定義"/>
      <sheetName val="補足_記入シート"/>
      <sheetName val="ﾘｽﾄ"/>
      <sheetName val="종이 시험성적서"/>
      <sheetName val="補足(マスタ)"/>
      <sheetName val="件数"/>
      <sheetName val="Vali"/>
      <sheetName val="１．InfoCube_(YKCH0010)案１2"/>
      <sheetName val="１．InfoCube_(YKCH0010)_案２2"/>
      <sheetName val="リスト_(2)1"/>
      <sheetName val="Estimator_Base1"/>
      <sheetName val="機能設計書_（内容説明）1"/>
      <sheetName val="Pattern_Definition1"/>
      <sheetName val="コード値(コード順)_1"/>
      <sheetName val="(Status_Definition)1"/>
      <sheetName val="納品対象外_セレクトデータ1"/>
      <sheetName val="3_指定可能値1"/>
      <sheetName val="MKPF(4_6C)"/>
      <sheetName val="Cover_Cheet_(変更前)2"/>
      <sheetName val="Change_History1"/>
      <sheetName val="Test_Scenario1"/>
      <sheetName val="Execution_Result(1-1)1"/>
      <sheetName val="Execution_Result(1-2)1"/>
      <sheetName val="Execution_Result(1-3)1"/>
      <sheetName val="Execution_Result(1-4)1"/>
      <sheetName val="Execution_Result(1-5)1"/>
      <sheetName val="Execution_Result(1-6)1"/>
      <sheetName val="Execution_Result(1-7)1"/>
      <sheetName val="Execution_Result(1-8-1)1"/>
      <sheetName val="Execution_Result(1-8-2)1"/>
      <sheetName val="Execution_Result(1-9)1"/>
      <sheetName val="Execution_Result(1-10)1"/>
      <sheetName val="Execution_Result(1-11)1"/>
      <sheetName val="Execution_Result(1-12-1)1"/>
      <sheetName val="Execution_Result(1-12-2)1"/>
      <sheetName val="Delete_Prohibition1"/>
      <sheetName val="Day_master"/>
      <sheetName val="Pricing_tool"/>
      <sheetName val="Category_list"/>
      <sheetName val="テストコンディション_"/>
      <sheetName val="テスト実行結果_1"/>
      <sheetName val="テスト実行結果_2"/>
      <sheetName val="テスト実行結果_3"/>
      <sheetName val="テスト実行結果_4"/>
      <sheetName val="テスト実行結果_5"/>
      <sheetName val="テスト実行結果_6"/>
      <sheetName val="実行結果_(3)"/>
      <sheetName val="09_IF項目定義(諸掛明細)_"/>
      <sheetName val="04_画面レイアウト_(2)"/>
      <sheetName val="07_コールトランザクション_(2)"/>
      <sheetName val="変換表v1_03"/>
      <sheetName val="エビデンス_(5回目)"/>
      <sheetName val="COVER_PAGE"/>
      <sheetName val="Test_Condition_Description"/>
      <sheetName val="Doc_History"/>
      <sheetName val="Source_(0件)"/>
      <sheetName val="Result_(0件)"/>
      <sheetName val="Source_(1件)"/>
      <sheetName val="Target_(1件)_ヘッダー"/>
      <sheetName val="Target_(1件)_データ"/>
      <sheetName val="Result_(1件)"/>
      <sheetName val="Source_(複数件)"/>
      <sheetName val="Target_(複数件)_ヘッダー"/>
      <sheetName val="Target_(複数件)_データ"/>
      <sheetName val="Result_(複数件)"/>
      <sheetName val="Source_(複数件2)"/>
      <sheetName val="Target_(複数件2)_ヘッダー"/>
      <sheetName val="Target_(複数件2)_データ"/>
      <sheetName val="Result_(複数件2)"/>
      <sheetName val="Source_(バリデーション)"/>
      <sheetName val="Result_(バリデーション)"/>
      <sheetName val="Data_Type_Format"/>
      <sheetName val="MTT_Change_History"/>
      <sheetName val="Revision_History"/>
      <sheetName val="Function_Description"/>
      <sheetName val="Selection_Screen_Specifications"/>
      <sheetName val="Selection_Screen(Belize)"/>
      <sheetName val="InputOutput_file_(Flat)"/>
      <sheetName val="InputOutput_file_(multi)"/>
      <sheetName val="App_Log"/>
      <sheetName val="Appendix(Fixed_Value)"/>
      <sheetName val="テストコンディション_(2)"/>
      <sheetName val="製品分類"/>
      <sheetName val="WORK引用"/>
      <sheetName val="リスト定義"/>
      <sheetName val="パラメータ"/>
      <sheetName val="パラメータ定義"/>
      <sheetName val="※システム管理台帳"/>
      <sheetName val="F4"/>
      <sheetName val="（仮）役割分担表"/>
      <sheetName val="輸入品品名ｺｰﾄﾞ"/>
      <sheetName val="リスト参照値"/>
      <sheetName val="中カテゴリ"/>
      <sheetName val="Mapping_Definition"/>
      <sheetName val="Selection_Screen"/>
      <sheetName val="Mapping_Definition(ZPPT1008)"/>
      <sheetName val="Mapping_Definition(LCSUS)"/>
      <sheetName val="API_Specification"/>
      <sheetName val="IDOC_Specifiction"/>
      <sheetName val="Appendix(IF_target_period)"/>
      <sheetName val="List_Value"/>
      <sheetName val="定数"/>
      <sheetName val="課題ToDo一覧"/>
      <sheetName val="RequestID_List"/>
      <sheetName val="更新履歴"/>
      <sheetName val="その他マスタ"/>
      <sheetName val="資格・役職マスタ"/>
      <sheetName val="作業場所マスタ"/>
      <sheetName val="システム一覧"/>
      <sheetName val="資産クラス"/>
      <sheetName val="削除しない "/>
      <sheetName val="Ｇ名"/>
      <sheetName val="▼基礎データ＆集計シート"/>
      <sheetName val="□予推差・予実差（事業部（詳細））"/>
      <sheetName val="step1-3 給与項目洗い出し&amp;仮マッピング"/>
      <sheetName val="リストテンプレシート"/>
      <sheetName val="品目分類"/>
      <sheetName val="案1(44%)"/>
      <sheetName val="ステータスレポート"/>
      <sheetName val="参照）中計戦略一覧"/>
      <sheetName val="コード"/>
      <sheetName val="PLANT LIST"/>
      <sheetName val="３．事業本部"/>
      <sheetName val="６．業務内容（第二階層）"/>
      <sheetName val="５．事業領域（第一階層）"/>
      <sheetName val="４．事業セグメント（事業区分）"/>
      <sheetName val="２．事業所（個社管理単位）"/>
      <sheetName val="リスト（表紙）"/>
      <sheetName val="難易度表"/>
      <sheetName val="参考"/>
      <sheetName val="金額フル桁得意先"/>
      <sheetName val="99.リスト（印字不要）"/>
      <sheetName val="新内部マスタテーブル"/>
      <sheetName val="リスト（印字不要）"/>
      <sheetName val="記載ルール"/>
      <sheetName val="項目説明"/>
      <sheetName val="system"/>
      <sheetName val="種別サマリ"/>
      <sheetName val="依頼科目入力フォーマット"/>
      <sheetName val="タイムチャート"/>
      <sheetName val="案件一覧"/>
      <sheetName val="全体状況（本番）"/>
      <sheetName val="(リスト用)システム一覧"/>
      <sheetName val="ZMMT1073(2シート)+1073"/>
      <sheetName val="MST"/>
      <sheetName val="Reference Do not touch"/>
      <sheetName val="table_data"/>
      <sheetName val="SAPUI5 Specification"/>
      <sheetName val="ステータスList"/>
      <sheetName val="プルダウンメニューリスト"/>
      <sheetName val="１．InfoCube_(YKCH0010)案１3"/>
      <sheetName val="１．InfoCube_(YKCH0010)_案２3"/>
      <sheetName val="Estimator_Base2"/>
      <sheetName val="リスト_(2)2"/>
      <sheetName val="機能設計書_（内容説明）2"/>
      <sheetName val="Pattern_Definition2"/>
      <sheetName val="コード値(コード順)_2"/>
      <sheetName val="(Status_Definition)2"/>
      <sheetName val="納品対象外_セレクトデータ2"/>
      <sheetName val="3_指定可能値2"/>
      <sheetName val="Cover_Cheet_(変更前)3"/>
      <sheetName val="Change_History2"/>
      <sheetName val="Test_Scenario2"/>
      <sheetName val="Execution_Result(1-1)2"/>
      <sheetName val="Execution_Result(1-2)2"/>
      <sheetName val="Execution_Result(1-3)2"/>
      <sheetName val="Execution_Result(1-4)2"/>
      <sheetName val="Execution_Result(1-5)2"/>
      <sheetName val="Execution_Result(1-6)2"/>
      <sheetName val="Execution_Result(1-7)2"/>
      <sheetName val="Execution_Result(1-8-1)2"/>
      <sheetName val="Execution_Result(1-8-2)2"/>
      <sheetName val="Execution_Result(1-9)2"/>
      <sheetName val="Execution_Result(1-10)2"/>
      <sheetName val="Execution_Result(1-11)2"/>
      <sheetName val="Execution_Result(1-12-1)2"/>
      <sheetName val="Execution_Result(1-12-2)2"/>
      <sheetName val="Delete_Prohibition2"/>
      <sheetName val="Day_master1"/>
      <sheetName val="Pricing_tool1"/>
      <sheetName val="Category_list1"/>
      <sheetName val="変換表v1_031"/>
      <sheetName val="テストコンディション_(2)1"/>
      <sheetName val="エビデンス_(5回目)1"/>
      <sheetName val="COVER_PAGE1"/>
      <sheetName val="Test_Condition_Description1"/>
      <sheetName val="Doc_History1"/>
      <sheetName val="Source_(0件)1"/>
      <sheetName val="Result_(0件)1"/>
      <sheetName val="Source_(1件)1"/>
      <sheetName val="Target_(1件)_ヘッダー1"/>
      <sheetName val="Target_(1件)_データ1"/>
      <sheetName val="Result_(1件)1"/>
      <sheetName val="Source_(複数件)1"/>
      <sheetName val="Target_(複数件)_ヘッダー1"/>
      <sheetName val="Target_(複数件)_データ1"/>
      <sheetName val="Result_(複数件)1"/>
      <sheetName val="Source_(複数件2)1"/>
      <sheetName val="Target_(複数件2)_ヘッダー1"/>
      <sheetName val="Target_(複数件2)_データ1"/>
      <sheetName val="Result_(複数件2)1"/>
      <sheetName val="Source_(バリデーション)1"/>
      <sheetName val="Result_(バリデーション)1"/>
      <sheetName val="Data_Type_Format1"/>
      <sheetName val="MTT_Change_History1"/>
      <sheetName val="Revision_History1"/>
      <sheetName val="Function_Description1"/>
      <sheetName val="Selection_Screen_Specification1"/>
      <sheetName val="Selection_Screen(Belize)1"/>
      <sheetName val="InputOutput_file_(Flat)1"/>
      <sheetName val="InputOutput_file_(multi)1"/>
      <sheetName val="App_Log1"/>
      <sheetName val="Appendix(Fixed_Value)1"/>
      <sheetName val="List_Value1"/>
      <sheetName val="Mapping_Definition1"/>
      <sheetName val="Selection_Screen1"/>
      <sheetName val="Mapping_Definition(ZPPT1008)1"/>
      <sheetName val="Mapping_Definition(LCSUS)1"/>
      <sheetName val="API_Specification1"/>
      <sheetName val="IDOC_Specifiction1"/>
      <sheetName val="Appendix(IF_target_period)1"/>
      <sheetName val="MKPF(4_6C)1"/>
      <sheetName val="テストコンディション_1"/>
      <sheetName val="テスト実行結果_11"/>
      <sheetName val="テスト実行結果_21"/>
      <sheetName val="テスト実行結果_31"/>
      <sheetName val="テスト実行結果_41"/>
      <sheetName val="テスト実行結果_51"/>
      <sheetName val="テスト実行結果_61"/>
      <sheetName val="実行結果_(3)1"/>
      <sheetName val="09_IF項目定義(諸掛明細)_1"/>
      <sheetName val="04_画面レイアウト_(2)1"/>
      <sheetName val="07_コールトランザクション_(2)1"/>
      <sheetName val="集計表_XLS"/>
      <sheetName val="종이_시험성적서"/>
      <sheetName val="削除しない_"/>
      <sheetName val="送金目的"/>
      <sheetName val="危険物区分"/>
      <sheetName val="T予実"/>
      <sheetName val="リストボックス"/>
      <sheetName val="概略設計書表紙"/>
      <sheetName val="テーブル"/>
      <sheetName val="区分入力リスト"/>
      <sheetName val="□リスト"/>
      <sheetName val="進捗状況"/>
      <sheetName val="データ"/>
      <sheetName val="（基礎情報）"/>
      <sheetName val="リスト(削除しないでください)"/>
      <sheetName val="月部別"/>
      <sheetName val="Table"/>
      <sheetName val="【アプリ保守チーム】本番機登録データ送付シート"/>
      <sheetName val="マスタ登録依頼申請書"/>
      <sheetName val="17.9.21"/>
      <sheetName val="20.6.30"/>
      <sheetName val="【記入例マスタ登録依頼申請書"/>
      <sheetName val="ZIFTZ1"/>
      <sheetName val="List_Common"/>
      <sheetName val="??InfoCube (YKCH0010)??"/>
      <sheetName val="??InfoCube (YKCH0010) ??"/>
      <sheetName val="????"/>
      <sheetName val="?????"/>
      <sheetName val="???"/>
      <sheetName val="申請書"/>
      <sheetName val="取引先機能（得意先）"/>
      <sheetName val="都道府県市区町村リスト"/>
      <sheetName val="銀行情報"/>
      <sheetName val="宛先一覧"/>
      <sheetName val="リスト(※削除禁止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項目一覧(SAP版)"/>
      <sheetName val="130システム化業務（仕上）"/>
      <sheetName val="受療率変動3"/>
      <sheetName val="受療率変動5"/>
      <sheetName val="人口"/>
      <sheetName val="処理記述書(ﾃﾞｰﾀ対応)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144-E665-4961-98B5-EE4ED1EA65CF}">
  <sheetPr>
    <pageSetUpPr fitToPage="1"/>
  </sheetPr>
  <dimension ref="B2:X74"/>
  <sheetViews>
    <sheetView showGridLines="0" tabSelected="1" view="pageBreakPreview" zoomScale="70" zoomScaleNormal="70" zoomScaleSheetLayoutView="70" workbookViewId="0"/>
  </sheetViews>
  <sheetFormatPr defaultColWidth="10" defaultRowHeight="15" x14ac:dyDescent="0.45"/>
  <cols>
    <col min="1" max="1" width="1.69921875" style="2" customWidth="1"/>
    <col min="2" max="2" width="6.3984375" style="2" customWidth="1"/>
    <col min="3" max="3" width="9.69921875" style="3" customWidth="1"/>
    <col min="4" max="22" width="7.5" style="3" customWidth="1"/>
    <col min="23" max="23" width="10" style="2"/>
    <col min="24" max="24" width="0" style="2" hidden="1" customWidth="1"/>
    <col min="25" max="16384" width="10" style="2"/>
  </cols>
  <sheetData>
    <row r="2" spans="2:24" ht="22.8" x14ac:dyDescent="0.45">
      <c r="B2" s="1" t="s">
        <v>0</v>
      </c>
      <c r="C2" s="2"/>
      <c r="K2" s="142" t="str">
        <f>TEXT(X2,"yyyy年m月度")</f>
        <v>@対象年月</v>
      </c>
      <c r="L2" s="143"/>
      <c r="M2" s="4"/>
      <c r="N2" s="87"/>
      <c r="S2" s="4"/>
      <c r="X2" s="88" t="s">
        <v>103</v>
      </c>
    </row>
    <row r="3" spans="2:24" ht="22.8" x14ac:dyDescent="0.45">
      <c r="C3" s="1"/>
      <c r="K3" s="4"/>
      <c r="M3" s="4"/>
      <c r="S3" s="4"/>
    </row>
    <row r="4" spans="2:24" ht="16.2" x14ac:dyDescent="0.45">
      <c r="B4" s="4" t="s">
        <v>1</v>
      </c>
    </row>
    <row r="5" spans="2:24" ht="22.5" customHeight="1" x14ac:dyDescent="0.45">
      <c r="C5" s="227" t="s">
        <v>2</v>
      </c>
      <c r="D5" s="229" t="s">
        <v>3</v>
      </c>
      <c r="E5" s="229" t="s">
        <v>4</v>
      </c>
      <c r="F5" s="229" t="s">
        <v>5</v>
      </c>
      <c r="G5" s="229" t="s">
        <v>6</v>
      </c>
      <c r="H5" s="229" t="s">
        <v>7</v>
      </c>
      <c r="I5" s="229" t="s">
        <v>8</v>
      </c>
      <c r="J5" s="229" t="s">
        <v>9</v>
      </c>
      <c r="K5" s="229" t="s">
        <v>10</v>
      </c>
      <c r="L5" s="229" t="s">
        <v>11</v>
      </c>
      <c r="Q5" s="2"/>
      <c r="R5" s="6" t="s">
        <v>12</v>
      </c>
      <c r="S5" s="220" t="s">
        <v>168</v>
      </c>
      <c r="T5" s="221"/>
      <c r="U5" s="221"/>
    </row>
    <row r="6" spans="2:24" ht="22.5" customHeight="1" thickBot="1" x14ac:dyDescent="0.5">
      <c r="C6" s="228"/>
      <c r="D6" s="230"/>
      <c r="E6" s="230"/>
      <c r="F6" s="230"/>
      <c r="G6" s="230"/>
      <c r="H6" s="230"/>
      <c r="I6" s="230"/>
      <c r="J6" s="230"/>
      <c r="K6" s="230"/>
      <c r="L6" s="230"/>
      <c r="Q6" s="2"/>
      <c r="R6" s="6" t="s">
        <v>13</v>
      </c>
      <c r="S6" s="220" t="s">
        <v>169</v>
      </c>
      <c r="T6" s="221"/>
      <c r="U6" s="221"/>
    </row>
    <row r="7" spans="2:24" ht="22.5" customHeight="1" thickTop="1" x14ac:dyDescent="0.45">
      <c r="C7" s="7" t="s">
        <v>14</v>
      </c>
      <c r="D7" s="78" t="str">
        <f>P13</f>
        <v>@集計項目出力5</v>
      </c>
      <c r="E7" s="79">
        <f>P19</f>
        <v>0</v>
      </c>
      <c r="F7" s="79">
        <f>P25</f>
        <v>0</v>
      </c>
      <c r="G7" s="79">
        <f>P31</f>
        <v>0</v>
      </c>
      <c r="H7" s="79">
        <f>P33</f>
        <v>0</v>
      </c>
      <c r="I7" s="79">
        <f>P49</f>
        <v>0</v>
      </c>
      <c r="J7" s="79">
        <f>P41</f>
        <v>0</v>
      </c>
      <c r="K7" s="80">
        <f>P51</f>
        <v>0</v>
      </c>
      <c r="L7" s="81">
        <f>P67</f>
        <v>0</v>
      </c>
      <c r="Q7" s="2"/>
      <c r="R7" s="6" t="s">
        <v>15</v>
      </c>
      <c r="S7" s="220" t="s">
        <v>170</v>
      </c>
      <c r="T7" s="221"/>
      <c r="U7" s="221"/>
    </row>
    <row r="8" spans="2:24" ht="22.5" customHeight="1" x14ac:dyDescent="0.45">
      <c r="C8" s="8" t="s">
        <v>16</v>
      </c>
      <c r="D8" s="82" t="str">
        <f>V13</f>
        <v>@集計項目出力10</v>
      </c>
      <c r="E8" s="83">
        <f>V19</f>
        <v>0</v>
      </c>
      <c r="F8" s="83">
        <f>V25</f>
        <v>0</v>
      </c>
      <c r="G8" s="83">
        <f>V31</f>
        <v>0</v>
      </c>
      <c r="H8" s="83">
        <f>V33</f>
        <v>0</v>
      </c>
      <c r="I8" s="83">
        <f>V49</f>
        <v>0</v>
      </c>
      <c r="J8" s="83">
        <f>V41</f>
        <v>0</v>
      </c>
      <c r="K8" s="84">
        <f>V51</f>
        <v>0</v>
      </c>
      <c r="L8" s="85">
        <f>V67</f>
        <v>0</v>
      </c>
      <c r="Q8" s="2"/>
      <c r="R8" s="6" t="s">
        <v>17</v>
      </c>
      <c r="S8" s="220" t="s">
        <v>171</v>
      </c>
      <c r="T8" s="221"/>
      <c r="U8" s="221"/>
    </row>
    <row r="9" spans="2:24" ht="22.5" customHeight="1" x14ac:dyDescent="0.45">
      <c r="C9" s="9" t="s">
        <v>18</v>
      </c>
      <c r="D9" s="66" t="str">
        <f>V14</f>
        <v>@集計項目出力15</v>
      </c>
      <c r="E9" s="67">
        <f>V20</f>
        <v>0</v>
      </c>
      <c r="F9" s="67">
        <f>V26</f>
        <v>0</v>
      </c>
      <c r="G9" s="67">
        <f>V32</f>
        <v>0</v>
      </c>
      <c r="H9" s="67">
        <f>V34</f>
        <v>0</v>
      </c>
      <c r="I9" s="67">
        <f>V50</f>
        <v>0</v>
      </c>
      <c r="J9" s="67">
        <f>V42</f>
        <v>0</v>
      </c>
      <c r="K9" s="75">
        <f>V52</f>
        <v>0</v>
      </c>
      <c r="L9" s="86">
        <f>V68</f>
        <v>0</v>
      </c>
    </row>
    <row r="10" spans="2:24" ht="18" customHeight="1" thickBot="1" x14ac:dyDescent="0.5"/>
    <row r="11" spans="2:24" ht="24" customHeight="1" thickBot="1" x14ac:dyDescent="0.5">
      <c r="B11" s="5" t="s">
        <v>19</v>
      </c>
      <c r="C11" s="4"/>
      <c r="L11" s="222" t="s">
        <v>20</v>
      </c>
      <c r="M11" s="223"/>
      <c r="N11" s="223"/>
      <c r="O11" s="223"/>
      <c r="P11" s="224"/>
      <c r="Q11" s="222" t="s">
        <v>21</v>
      </c>
      <c r="R11" s="223"/>
      <c r="S11" s="223"/>
      <c r="T11" s="223"/>
      <c r="U11" s="223"/>
      <c r="V11" s="224"/>
    </row>
    <row r="12" spans="2:24" ht="26.25" customHeight="1" thickBot="1" x14ac:dyDescent="0.5">
      <c r="C12" s="10"/>
      <c r="D12" s="11"/>
      <c r="E12" s="11"/>
      <c r="F12" s="11"/>
      <c r="G12" s="11" t="s">
        <v>22</v>
      </c>
      <c r="H12" s="11"/>
      <c r="I12" s="11"/>
      <c r="J12" s="11"/>
      <c r="K12" s="11"/>
      <c r="L12" s="12" t="s">
        <v>23</v>
      </c>
      <c r="M12" s="13" t="s">
        <v>24</v>
      </c>
      <c r="N12" s="14" t="s">
        <v>25</v>
      </c>
      <c r="O12" s="15" t="s">
        <v>26</v>
      </c>
      <c r="P12" s="16" t="s">
        <v>27</v>
      </c>
      <c r="Q12" s="17"/>
      <c r="R12" s="18" t="s">
        <v>23</v>
      </c>
      <c r="S12" s="19" t="s">
        <v>24</v>
      </c>
      <c r="T12" s="20" t="s">
        <v>25</v>
      </c>
      <c r="U12" s="21" t="s">
        <v>26</v>
      </c>
      <c r="V12" s="22" t="s">
        <v>27</v>
      </c>
    </row>
    <row r="13" spans="2:24" ht="15.75" customHeight="1" thickTop="1" x14ac:dyDescent="0.45">
      <c r="C13" s="231" t="s">
        <v>28</v>
      </c>
      <c r="D13" s="234" t="s">
        <v>29</v>
      </c>
      <c r="E13" s="235"/>
      <c r="F13" s="236"/>
      <c r="G13" s="213" t="s">
        <v>30</v>
      </c>
      <c r="H13" s="238"/>
      <c r="I13" s="238"/>
      <c r="J13" s="239"/>
      <c r="K13" s="23"/>
      <c r="L13" s="240" t="s">
        <v>88</v>
      </c>
      <c r="M13" s="241" t="s">
        <v>89</v>
      </c>
      <c r="N13" s="242" t="s">
        <v>90</v>
      </c>
      <c r="O13" s="242" t="s">
        <v>91</v>
      </c>
      <c r="P13" s="243" t="s">
        <v>92</v>
      </c>
      <c r="Q13" s="24" t="s">
        <v>31</v>
      </c>
      <c r="R13" s="54" t="s">
        <v>93</v>
      </c>
      <c r="S13" s="55" t="s">
        <v>96</v>
      </c>
      <c r="T13" s="56" t="s">
        <v>97</v>
      </c>
      <c r="U13" s="56" t="s">
        <v>100</v>
      </c>
      <c r="V13" s="57" t="s">
        <v>101</v>
      </c>
    </row>
    <row r="14" spans="2:24" x14ac:dyDescent="0.45">
      <c r="C14" s="232"/>
      <c r="D14" s="195"/>
      <c r="E14" s="196"/>
      <c r="F14" s="237"/>
      <c r="G14" s="183"/>
      <c r="H14" s="184"/>
      <c r="I14" s="184"/>
      <c r="J14" s="185"/>
      <c r="K14" s="25"/>
      <c r="L14" s="114"/>
      <c r="M14" s="115"/>
      <c r="N14" s="116"/>
      <c r="O14" s="116"/>
      <c r="P14" s="105"/>
      <c r="Q14" s="26" t="s">
        <v>32</v>
      </c>
      <c r="R14" s="58" t="s">
        <v>94</v>
      </c>
      <c r="S14" s="59" t="s">
        <v>95</v>
      </c>
      <c r="T14" s="60" t="s">
        <v>98</v>
      </c>
      <c r="U14" s="60" t="s">
        <v>99</v>
      </c>
      <c r="V14" s="61" t="s">
        <v>102</v>
      </c>
    </row>
    <row r="15" spans="2:24" x14ac:dyDescent="0.45">
      <c r="C15" s="232"/>
      <c r="D15" s="195"/>
      <c r="E15" s="196"/>
      <c r="F15" s="237"/>
      <c r="G15" s="182" t="s">
        <v>33</v>
      </c>
      <c r="H15" s="166"/>
      <c r="I15" s="166"/>
      <c r="J15" s="167"/>
      <c r="K15" s="23"/>
      <c r="L15" s="114"/>
      <c r="M15" s="115"/>
      <c r="N15" s="116"/>
      <c r="O15" s="116"/>
      <c r="P15" s="147"/>
      <c r="Q15" s="24" t="s">
        <v>31</v>
      </c>
      <c r="R15" s="62"/>
      <c r="S15" s="63"/>
      <c r="T15" s="64"/>
      <c r="U15" s="64"/>
      <c r="V15" s="65"/>
    </row>
    <row r="16" spans="2:24" x14ac:dyDescent="0.45">
      <c r="C16" s="232"/>
      <c r="D16" s="195"/>
      <c r="E16" s="196"/>
      <c r="F16" s="237"/>
      <c r="G16" s="183"/>
      <c r="H16" s="184"/>
      <c r="I16" s="184"/>
      <c r="J16" s="185"/>
      <c r="K16" s="25"/>
      <c r="L16" s="114"/>
      <c r="M16" s="115"/>
      <c r="N16" s="116"/>
      <c r="O16" s="116"/>
      <c r="P16" s="148"/>
      <c r="Q16" s="27" t="s">
        <v>32</v>
      </c>
      <c r="R16" s="66"/>
      <c r="S16" s="67"/>
      <c r="T16" s="68"/>
      <c r="U16" s="68"/>
      <c r="V16" s="69"/>
    </row>
    <row r="17" spans="3:22" x14ac:dyDescent="0.45">
      <c r="C17" s="232"/>
      <c r="D17" s="28"/>
      <c r="G17" s="200" t="s">
        <v>34</v>
      </c>
      <c r="H17" s="200"/>
      <c r="I17" s="200"/>
      <c r="J17" s="200"/>
      <c r="K17" s="29"/>
      <c r="L17" s="114"/>
      <c r="M17" s="115"/>
      <c r="N17" s="116"/>
      <c r="O17" s="116"/>
      <c r="P17" s="147"/>
      <c r="Q17" s="24" t="s">
        <v>31</v>
      </c>
      <c r="R17" s="62"/>
      <c r="S17" s="63"/>
      <c r="T17" s="64"/>
      <c r="U17" s="64"/>
      <c r="V17" s="65"/>
    </row>
    <row r="18" spans="3:22" x14ac:dyDescent="0.45">
      <c r="C18" s="232"/>
      <c r="D18" s="30"/>
      <c r="E18" s="31"/>
      <c r="F18" s="31"/>
      <c r="G18" s="201"/>
      <c r="H18" s="201"/>
      <c r="I18" s="201"/>
      <c r="J18" s="226"/>
      <c r="K18" s="32"/>
      <c r="L18" s="114"/>
      <c r="M18" s="115"/>
      <c r="N18" s="116"/>
      <c r="O18" s="116"/>
      <c r="P18" s="148"/>
      <c r="Q18" s="27" t="s">
        <v>32</v>
      </c>
      <c r="R18" s="66"/>
      <c r="S18" s="67"/>
      <c r="T18" s="68"/>
      <c r="U18" s="68"/>
      <c r="V18" s="69"/>
    </row>
    <row r="19" spans="3:22" x14ac:dyDescent="0.45">
      <c r="C19" s="232"/>
      <c r="D19" s="203" t="s">
        <v>35</v>
      </c>
      <c r="E19" s="204"/>
      <c r="F19" s="204"/>
      <c r="G19" s="205"/>
      <c r="H19" s="205"/>
      <c r="I19" s="205"/>
      <c r="J19" s="205"/>
      <c r="K19" s="33"/>
      <c r="L19" s="114"/>
      <c r="M19" s="115"/>
      <c r="N19" s="116"/>
      <c r="O19" s="116"/>
      <c r="P19" s="147"/>
      <c r="Q19" s="24" t="s">
        <v>31</v>
      </c>
      <c r="R19" s="62"/>
      <c r="S19" s="63"/>
      <c r="T19" s="64"/>
      <c r="U19" s="64"/>
      <c r="V19" s="65"/>
    </row>
    <row r="20" spans="3:22" ht="15.6" thickBot="1" x14ac:dyDescent="0.5">
      <c r="C20" s="233"/>
      <c r="D20" s="97"/>
      <c r="E20" s="98"/>
      <c r="F20" s="98"/>
      <c r="G20" s="98"/>
      <c r="H20" s="98"/>
      <c r="I20" s="98"/>
      <c r="J20" s="98"/>
      <c r="K20" s="34"/>
      <c r="L20" s="100"/>
      <c r="M20" s="102"/>
      <c r="N20" s="104"/>
      <c r="O20" s="104"/>
      <c r="P20" s="225"/>
      <c r="Q20" s="27" t="s">
        <v>32</v>
      </c>
      <c r="R20" s="66"/>
      <c r="S20" s="67"/>
      <c r="T20" s="68"/>
      <c r="U20" s="68"/>
      <c r="V20" s="69"/>
    </row>
    <row r="21" spans="3:22" ht="15.75" customHeight="1" x14ac:dyDescent="0.45">
      <c r="C21" s="208" t="s">
        <v>36</v>
      </c>
      <c r="D21" s="210" t="s">
        <v>37</v>
      </c>
      <c r="E21" s="211"/>
      <c r="F21" s="212"/>
      <c r="G21" s="216" t="s">
        <v>38</v>
      </c>
      <c r="H21" s="217"/>
      <c r="I21" s="217"/>
      <c r="J21" s="218"/>
      <c r="K21" s="35"/>
      <c r="L21" s="159"/>
      <c r="M21" s="160"/>
      <c r="N21" s="161"/>
      <c r="O21" s="161"/>
      <c r="P21" s="202"/>
      <c r="Q21" s="24" t="s">
        <v>31</v>
      </c>
      <c r="R21" s="62"/>
      <c r="S21" s="63"/>
      <c r="T21" s="64"/>
      <c r="U21" s="64"/>
      <c r="V21" s="65"/>
    </row>
    <row r="22" spans="3:22" x14ac:dyDescent="0.45">
      <c r="C22" s="176"/>
      <c r="D22" s="213"/>
      <c r="E22" s="214"/>
      <c r="F22" s="215"/>
      <c r="G22" s="206"/>
      <c r="H22" s="207"/>
      <c r="I22" s="207"/>
      <c r="J22" s="207"/>
      <c r="K22" s="36"/>
      <c r="L22" s="114"/>
      <c r="M22" s="115"/>
      <c r="N22" s="116"/>
      <c r="O22" s="116"/>
      <c r="P22" s="148"/>
      <c r="Q22" s="27" t="s">
        <v>32</v>
      </c>
      <c r="R22" s="66"/>
      <c r="S22" s="67"/>
      <c r="T22" s="68"/>
      <c r="U22" s="68"/>
      <c r="V22" s="69"/>
    </row>
    <row r="23" spans="3:22" x14ac:dyDescent="0.45">
      <c r="C23" s="176"/>
      <c r="D23" s="213"/>
      <c r="E23" s="214"/>
      <c r="F23" s="215"/>
      <c r="G23" s="203" t="s">
        <v>39</v>
      </c>
      <c r="H23" s="204"/>
      <c r="I23" s="204"/>
      <c r="J23" s="205"/>
      <c r="K23" s="35"/>
      <c r="L23" s="114"/>
      <c r="M23" s="115"/>
      <c r="N23" s="116"/>
      <c r="O23" s="116"/>
      <c r="P23" s="147"/>
      <c r="Q23" s="24" t="s">
        <v>31</v>
      </c>
      <c r="R23" s="62"/>
      <c r="S23" s="63"/>
      <c r="T23" s="64"/>
      <c r="U23" s="64"/>
      <c r="V23" s="65"/>
    </row>
    <row r="24" spans="3:22" x14ac:dyDescent="0.45">
      <c r="C24" s="176"/>
      <c r="D24" s="213"/>
      <c r="E24" s="214"/>
      <c r="F24" s="215"/>
      <c r="G24" s="206"/>
      <c r="H24" s="207"/>
      <c r="I24" s="207"/>
      <c r="J24" s="207"/>
      <c r="K24" s="36"/>
      <c r="L24" s="114"/>
      <c r="M24" s="115"/>
      <c r="N24" s="116"/>
      <c r="O24" s="116"/>
      <c r="P24" s="148"/>
      <c r="Q24" s="27" t="s">
        <v>32</v>
      </c>
      <c r="R24" s="66"/>
      <c r="S24" s="67"/>
      <c r="T24" s="68"/>
      <c r="U24" s="68"/>
      <c r="V24" s="69"/>
    </row>
    <row r="25" spans="3:22" x14ac:dyDescent="0.45">
      <c r="C25" s="176"/>
      <c r="D25" s="37"/>
      <c r="E25" s="38"/>
      <c r="F25" s="38"/>
      <c r="G25" s="200" t="s">
        <v>34</v>
      </c>
      <c r="H25" s="200"/>
      <c r="I25" s="200"/>
      <c r="J25" s="200"/>
      <c r="K25" s="140" t="s">
        <v>40</v>
      </c>
      <c r="L25" s="114"/>
      <c r="M25" s="115"/>
      <c r="N25" s="116"/>
      <c r="O25" s="116"/>
      <c r="P25" s="147"/>
      <c r="Q25" s="24" t="s">
        <v>31</v>
      </c>
      <c r="R25" s="62"/>
      <c r="S25" s="63"/>
      <c r="T25" s="64"/>
      <c r="U25" s="64"/>
      <c r="V25" s="65"/>
    </row>
    <row r="26" spans="3:22" x14ac:dyDescent="0.45">
      <c r="C26" s="176"/>
      <c r="D26" s="39"/>
      <c r="E26" s="40"/>
      <c r="F26" s="40"/>
      <c r="G26" s="201"/>
      <c r="H26" s="201"/>
      <c r="I26" s="201"/>
      <c r="J26" s="201"/>
      <c r="K26" s="141"/>
      <c r="L26" s="114"/>
      <c r="M26" s="115"/>
      <c r="N26" s="116"/>
      <c r="O26" s="116"/>
      <c r="P26" s="148"/>
      <c r="Q26" s="27" t="s">
        <v>32</v>
      </c>
      <c r="R26" s="66"/>
      <c r="S26" s="67"/>
      <c r="T26" s="68"/>
      <c r="U26" s="68"/>
      <c r="V26" s="69"/>
    </row>
    <row r="27" spans="3:22" x14ac:dyDescent="0.45">
      <c r="C27" s="176"/>
      <c r="D27" s="182" t="s">
        <v>41</v>
      </c>
      <c r="E27" s="166"/>
      <c r="F27" s="219"/>
      <c r="G27" s="203" t="s">
        <v>42</v>
      </c>
      <c r="H27" s="204"/>
      <c r="I27" s="204"/>
      <c r="J27" s="205"/>
      <c r="K27" s="35"/>
      <c r="L27" s="114"/>
      <c r="M27" s="115"/>
      <c r="N27" s="116"/>
      <c r="O27" s="116"/>
      <c r="P27" s="147"/>
      <c r="Q27" s="24" t="s">
        <v>31</v>
      </c>
      <c r="R27" s="62"/>
      <c r="S27" s="63"/>
      <c r="T27" s="64"/>
      <c r="U27" s="64"/>
      <c r="V27" s="65"/>
    </row>
    <row r="28" spans="3:22" x14ac:dyDescent="0.45">
      <c r="C28" s="176"/>
      <c r="D28" s="213"/>
      <c r="E28" s="214"/>
      <c r="F28" s="215"/>
      <c r="G28" s="206"/>
      <c r="H28" s="207"/>
      <c r="I28" s="207"/>
      <c r="J28" s="207"/>
      <c r="K28" s="36"/>
      <c r="L28" s="114"/>
      <c r="M28" s="115"/>
      <c r="N28" s="116"/>
      <c r="O28" s="116"/>
      <c r="P28" s="148"/>
      <c r="Q28" s="27" t="s">
        <v>32</v>
      </c>
      <c r="R28" s="66"/>
      <c r="S28" s="67"/>
      <c r="T28" s="68"/>
      <c r="U28" s="68"/>
      <c r="V28" s="69"/>
    </row>
    <row r="29" spans="3:22" x14ac:dyDescent="0.45">
      <c r="C29" s="176"/>
      <c r="D29" s="213"/>
      <c r="E29" s="214"/>
      <c r="F29" s="215"/>
      <c r="G29" s="203" t="s">
        <v>43</v>
      </c>
      <c r="H29" s="204"/>
      <c r="I29" s="204"/>
      <c r="J29" s="205"/>
      <c r="K29" s="35"/>
      <c r="L29" s="114"/>
      <c r="M29" s="115"/>
      <c r="N29" s="116"/>
      <c r="O29" s="116"/>
      <c r="P29" s="147"/>
      <c r="Q29" s="24" t="s">
        <v>31</v>
      </c>
      <c r="R29" s="62"/>
      <c r="S29" s="63"/>
      <c r="T29" s="64"/>
      <c r="U29" s="64"/>
      <c r="V29" s="65"/>
    </row>
    <row r="30" spans="3:22" x14ac:dyDescent="0.45">
      <c r="C30" s="176"/>
      <c r="D30" s="213"/>
      <c r="E30" s="214"/>
      <c r="F30" s="215"/>
      <c r="G30" s="206"/>
      <c r="H30" s="207"/>
      <c r="I30" s="207"/>
      <c r="J30" s="207"/>
      <c r="K30" s="36"/>
      <c r="L30" s="114"/>
      <c r="M30" s="115"/>
      <c r="N30" s="116"/>
      <c r="O30" s="116"/>
      <c r="P30" s="148"/>
      <c r="Q30" s="27" t="s">
        <v>32</v>
      </c>
      <c r="R30" s="66"/>
      <c r="S30" s="67"/>
      <c r="T30" s="68"/>
      <c r="U30" s="68"/>
      <c r="V30" s="69"/>
    </row>
    <row r="31" spans="3:22" x14ac:dyDescent="0.45">
      <c r="C31" s="176"/>
      <c r="D31" s="37"/>
      <c r="E31" s="38"/>
      <c r="F31" s="38"/>
      <c r="G31" s="200" t="s">
        <v>34</v>
      </c>
      <c r="H31" s="200"/>
      <c r="I31" s="200"/>
      <c r="J31" s="200"/>
      <c r="K31" s="140" t="s">
        <v>44</v>
      </c>
      <c r="L31" s="114"/>
      <c r="M31" s="115"/>
      <c r="N31" s="116"/>
      <c r="O31" s="116"/>
      <c r="P31" s="147"/>
      <c r="Q31" s="24" t="s">
        <v>31</v>
      </c>
      <c r="R31" s="62"/>
      <c r="S31" s="63"/>
      <c r="T31" s="64"/>
      <c r="U31" s="64"/>
      <c r="V31" s="65"/>
    </row>
    <row r="32" spans="3:22" x14ac:dyDescent="0.45">
      <c r="C32" s="176"/>
      <c r="D32" s="39"/>
      <c r="E32" s="40"/>
      <c r="F32" s="40"/>
      <c r="G32" s="201"/>
      <c r="H32" s="201"/>
      <c r="I32" s="201"/>
      <c r="J32" s="201"/>
      <c r="K32" s="141"/>
      <c r="L32" s="114"/>
      <c r="M32" s="115"/>
      <c r="N32" s="116"/>
      <c r="O32" s="116"/>
      <c r="P32" s="148"/>
      <c r="Q32" s="27" t="s">
        <v>32</v>
      </c>
      <c r="R32" s="66"/>
      <c r="S32" s="67"/>
      <c r="T32" s="68"/>
      <c r="U32" s="68"/>
      <c r="V32" s="69"/>
    </row>
    <row r="33" spans="3:22" x14ac:dyDescent="0.45">
      <c r="C33" s="176"/>
      <c r="D33" s="182" t="s">
        <v>45</v>
      </c>
      <c r="E33" s="166"/>
      <c r="F33" s="166"/>
      <c r="G33" s="41"/>
      <c r="H33" s="41"/>
      <c r="I33" s="41"/>
      <c r="J33" s="42"/>
      <c r="K33" s="140" t="s">
        <v>46</v>
      </c>
      <c r="L33" s="114"/>
      <c r="M33" s="115"/>
      <c r="N33" s="116"/>
      <c r="O33" s="116"/>
      <c r="P33" s="147"/>
      <c r="Q33" s="24" t="s">
        <v>31</v>
      </c>
      <c r="R33" s="62"/>
      <c r="S33" s="63"/>
      <c r="T33" s="64"/>
      <c r="U33" s="64"/>
      <c r="V33" s="65"/>
    </row>
    <row r="34" spans="3:22" x14ac:dyDescent="0.45">
      <c r="C34" s="176"/>
      <c r="D34" s="183"/>
      <c r="E34" s="184"/>
      <c r="F34" s="184"/>
      <c r="G34" s="31"/>
      <c r="H34" s="31"/>
      <c r="I34" s="31"/>
      <c r="J34" s="43"/>
      <c r="K34" s="141"/>
      <c r="L34" s="114"/>
      <c r="M34" s="115"/>
      <c r="N34" s="116"/>
      <c r="O34" s="116"/>
      <c r="P34" s="148"/>
      <c r="Q34" s="27" t="s">
        <v>32</v>
      </c>
      <c r="R34" s="66"/>
      <c r="S34" s="67"/>
      <c r="T34" s="68"/>
      <c r="U34" s="68"/>
      <c r="V34" s="69"/>
    </row>
    <row r="35" spans="3:22" ht="17.25" customHeight="1" x14ac:dyDescent="0.45">
      <c r="C35" s="176"/>
      <c r="D35" s="199"/>
      <c r="E35" s="199"/>
      <c r="F35" s="199"/>
      <c r="G35" s="108" t="s">
        <v>47</v>
      </c>
      <c r="H35" s="108"/>
      <c r="I35" s="108"/>
      <c r="J35" s="109"/>
      <c r="K35" s="112" t="s">
        <v>48</v>
      </c>
      <c r="L35" s="114"/>
      <c r="M35" s="115"/>
      <c r="N35" s="116"/>
      <c r="O35" s="116"/>
      <c r="P35" s="147"/>
      <c r="Q35" s="24" t="s">
        <v>31</v>
      </c>
      <c r="R35" s="62"/>
      <c r="S35" s="63"/>
      <c r="T35" s="64"/>
      <c r="U35" s="64"/>
      <c r="V35" s="65"/>
    </row>
    <row r="36" spans="3:22" ht="17.25" customHeight="1" x14ac:dyDescent="0.45">
      <c r="C36" s="209"/>
      <c r="D36" s="44"/>
      <c r="E36" s="44"/>
      <c r="F36" s="44"/>
      <c r="G36" s="150"/>
      <c r="H36" s="150"/>
      <c r="I36" s="150"/>
      <c r="J36" s="151"/>
      <c r="K36" s="152"/>
      <c r="L36" s="114"/>
      <c r="M36" s="115"/>
      <c r="N36" s="116"/>
      <c r="O36" s="116"/>
      <c r="P36" s="148"/>
      <c r="Q36" s="27" t="s">
        <v>32</v>
      </c>
      <c r="R36" s="66"/>
      <c r="S36" s="67"/>
      <c r="T36" s="68"/>
      <c r="U36" s="68"/>
      <c r="V36" s="69"/>
    </row>
    <row r="37" spans="3:22" ht="15.75" customHeight="1" x14ac:dyDescent="0.45">
      <c r="C37" s="176" t="s">
        <v>49</v>
      </c>
      <c r="D37" s="179" t="s">
        <v>50</v>
      </c>
      <c r="E37" s="180"/>
      <c r="F37" s="181"/>
      <c r="G37" s="195" t="s">
        <v>51</v>
      </c>
      <c r="H37" s="196"/>
      <c r="I37" s="196"/>
      <c r="J37" s="196"/>
      <c r="K37" s="197" t="s">
        <v>52</v>
      </c>
      <c r="L37" s="114"/>
      <c r="M37" s="115"/>
      <c r="N37" s="116"/>
      <c r="O37" s="116"/>
      <c r="P37" s="147"/>
      <c r="Q37" s="24" t="s">
        <v>31</v>
      </c>
      <c r="R37" s="62"/>
      <c r="S37" s="63"/>
      <c r="T37" s="64"/>
      <c r="U37" s="64"/>
      <c r="V37" s="65"/>
    </row>
    <row r="38" spans="3:22" x14ac:dyDescent="0.45">
      <c r="C38" s="176"/>
      <c r="D38" s="179"/>
      <c r="E38" s="180"/>
      <c r="F38" s="181"/>
      <c r="G38" s="186"/>
      <c r="H38" s="187"/>
      <c r="I38" s="187"/>
      <c r="J38" s="187"/>
      <c r="K38" s="198"/>
      <c r="L38" s="114"/>
      <c r="M38" s="115"/>
      <c r="N38" s="116"/>
      <c r="O38" s="116"/>
      <c r="P38" s="148"/>
      <c r="Q38" s="27" t="s">
        <v>32</v>
      </c>
      <c r="R38" s="66"/>
      <c r="S38" s="67"/>
      <c r="T38" s="68"/>
      <c r="U38" s="68"/>
      <c r="V38" s="69"/>
    </row>
    <row r="39" spans="3:22" x14ac:dyDescent="0.45">
      <c r="C39" s="176"/>
      <c r="D39" s="179"/>
      <c r="E39" s="180"/>
      <c r="F39" s="181"/>
      <c r="G39" s="162" t="s">
        <v>53</v>
      </c>
      <c r="H39" s="163"/>
      <c r="I39" s="163"/>
      <c r="J39" s="163"/>
      <c r="K39" s="45"/>
      <c r="L39" s="114"/>
      <c r="M39" s="115"/>
      <c r="N39" s="116"/>
      <c r="O39" s="116"/>
      <c r="P39" s="147"/>
      <c r="Q39" s="24" t="s">
        <v>31</v>
      </c>
      <c r="R39" s="62"/>
      <c r="S39" s="63"/>
      <c r="T39" s="64"/>
      <c r="U39" s="64"/>
      <c r="V39" s="65"/>
    </row>
    <row r="40" spans="3:22" x14ac:dyDescent="0.45">
      <c r="C40" s="176"/>
      <c r="D40" s="179"/>
      <c r="E40" s="180"/>
      <c r="F40" s="181"/>
      <c r="G40" s="186"/>
      <c r="H40" s="187"/>
      <c r="I40" s="187"/>
      <c r="J40" s="187"/>
      <c r="K40" s="46"/>
      <c r="L40" s="114"/>
      <c r="M40" s="115"/>
      <c r="N40" s="116"/>
      <c r="O40" s="116"/>
      <c r="P40" s="148"/>
      <c r="Q40" s="27" t="s">
        <v>32</v>
      </c>
      <c r="R40" s="66"/>
      <c r="S40" s="67"/>
      <c r="T40" s="68"/>
      <c r="U40" s="68"/>
      <c r="V40" s="69"/>
    </row>
    <row r="41" spans="3:22" x14ac:dyDescent="0.45">
      <c r="C41" s="177"/>
      <c r="D41" s="47"/>
      <c r="E41" s="48"/>
      <c r="F41" s="48"/>
      <c r="G41" s="119" t="s">
        <v>54</v>
      </c>
      <c r="H41" s="119"/>
      <c r="I41" s="119"/>
      <c r="J41" s="119"/>
      <c r="K41" s="193" t="s">
        <v>55</v>
      </c>
      <c r="L41" s="114"/>
      <c r="M41" s="115"/>
      <c r="N41" s="116"/>
      <c r="O41" s="116"/>
      <c r="P41" s="147"/>
      <c r="Q41" s="24" t="s">
        <v>31</v>
      </c>
      <c r="R41" s="62"/>
      <c r="S41" s="63"/>
      <c r="T41" s="64"/>
      <c r="U41" s="64"/>
      <c r="V41" s="65"/>
    </row>
    <row r="42" spans="3:22" x14ac:dyDescent="0.45">
      <c r="C42" s="177"/>
      <c r="D42" s="47"/>
      <c r="E42" s="48"/>
      <c r="F42" s="48"/>
      <c r="G42" s="121"/>
      <c r="H42" s="121"/>
      <c r="I42" s="121"/>
      <c r="J42" s="121"/>
      <c r="K42" s="194"/>
      <c r="L42" s="114"/>
      <c r="M42" s="115"/>
      <c r="N42" s="116"/>
      <c r="O42" s="116"/>
      <c r="P42" s="148"/>
      <c r="Q42" s="27" t="s">
        <v>32</v>
      </c>
      <c r="R42" s="66"/>
      <c r="S42" s="67"/>
      <c r="T42" s="68"/>
      <c r="U42" s="68"/>
      <c r="V42" s="69"/>
    </row>
    <row r="43" spans="3:22" ht="15.75" customHeight="1" x14ac:dyDescent="0.45">
      <c r="C43" s="177"/>
      <c r="D43" s="122" t="s">
        <v>56</v>
      </c>
      <c r="E43" s="123"/>
      <c r="F43" s="188"/>
      <c r="G43" s="189" t="s">
        <v>57</v>
      </c>
      <c r="H43" s="190"/>
      <c r="I43" s="190"/>
      <c r="J43" s="190"/>
      <c r="K43" s="193" t="s">
        <v>58</v>
      </c>
      <c r="L43" s="114"/>
      <c r="M43" s="115"/>
      <c r="N43" s="116"/>
      <c r="O43" s="116"/>
      <c r="P43" s="147"/>
      <c r="Q43" s="24" t="s">
        <v>31</v>
      </c>
      <c r="R43" s="62"/>
      <c r="S43" s="63"/>
      <c r="T43" s="64"/>
      <c r="U43" s="64"/>
      <c r="V43" s="65"/>
    </row>
    <row r="44" spans="3:22" x14ac:dyDescent="0.45">
      <c r="C44" s="177"/>
      <c r="D44" s="179"/>
      <c r="E44" s="180"/>
      <c r="F44" s="181"/>
      <c r="G44" s="191"/>
      <c r="H44" s="192"/>
      <c r="I44" s="192"/>
      <c r="J44" s="192"/>
      <c r="K44" s="194"/>
      <c r="L44" s="114"/>
      <c r="M44" s="115"/>
      <c r="N44" s="116"/>
      <c r="O44" s="116"/>
      <c r="P44" s="148"/>
      <c r="Q44" s="27" t="s">
        <v>32</v>
      </c>
      <c r="R44" s="66"/>
      <c r="S44" s="67"/>
      <c r="T44" s="68"/>
      <c r="U44" s="68"/>
      <c r="V44" s="69"/>
    </row>
    <row r="45" spans="3:22" x14ac:dyDescent="0.45">
      <c r="C45" s="177"/>
      <c r="D45" s="179"/>
      <c r="E45" s="180"/>
      <c r="F45" s="181"/>
      <c r="G45" s="162" t="s">
        <v>59</v>
      </c>
      <c r="H45" s="163"/>
      <c r="I45" s="163"/>
      <c r="J45" s="163"/>
      <c r="K45" s="45"/>
      <c r="L45" s="114"/>
      <c r="M45" s="115"/>
      <c r="N45" s="116"/>
      <c r="O45" s="116"/>
      <c r="P45" s="147"/>
      <c r="Q45" s="24" t="s">
        <v>31</v>
      </c>
      <c r="R45" s="62"/>
      <c r="S45" s="63"/>
      <c r="T45" s="64"/>
      <c r="U45" s="64"/>
      <c r="V45" s="65"/>
    </row>
    <row r="46" spans="3:22" x14ac:dyDescent="0.45">
      <c r="C46" s="177"/>
      <c r="D46" s="179"/>
      <c r="E46" s="180"/>
      <c r="F46" s="181"/>
      <c r="G46" s="186"/>
      <c r="H46" s="187"/>
      <c r="I46" s="187"/>
      <c r="J46" s="187"/>
      <c r="K46" s="46"/>
      <c r="L46" s="114"/>
      <c r="M46" s="115"/>
      <c r="N46" s="116"/>
      <c r="O46" s="116"/>
      <c r="P46" s="148"/>
      <c r="Q46" s="27" t="s">
        <v>32</v>
      </c>
      <c r="R46" s="66"/>
      <c r="S46" s="67"/>
      <c r="T46" s="68"/>
      <c r="U46" s="68"/>
      <c r="V46" s="69"/>
    </row>
    <row r="47" spans="3:22" x14ac:dyDescent="0.45">
      <c r="C47" s="177"/>
      <c r="D47" s="49"/>
      <c r="E47" s="49"/>
      <c r="F47" s="49"/>
      <c r="G47" s="119" t="s">
        <v>54</v>
      </c>
      <c r="H47" s="119"/>
      <c r="I47" s="119"/>
      <c r="J47" s="119"/>
      <c r="K47" s="140" t="s">
        <v>60</v>
      </c>
      <c r="L47" s="114"/>
      <c r="M47" s="115"/>
      <c r="N47" s="116"/>
      <c r="O47" s="116"/>
      <c r="P47" s="147"/>
      <c r="Q47" s="24" t="s">
        <v>31</v>
      </c>
      <c r="R47" s="62"/>
      <c r="S47" s="63"/>
      <c r="T47" s="64"/>
      <c r="U47" s="64"/>
      <c r="V47" s="65"/>
    </row>
    <row r="48" spans="3:22" x14ac:dyDescent="0.45">
      <c r="C48" s="177"/>
      <c r="D48" s="50"/>
      <c r="E48" s="51"/>
      <c r="F48" s="51"/>
      <c r="G48" s="121"/>
      <c r="H48" s="121"/>
      <c r="I48" s="121"/>
      <c r="J48" s="121"/>
      <c r="K48" s="141"/>
      <c r="L48" s="114"/>
      <c r="M48" s="115"/>
      <c r="N48" s="116"/>
      <c r="O48" s="116"/>
      <c r="P48" s="148"/>
      <c r="Q48" s="27" t="s">
        <v>32</v>
      </c>
      <c r="R48" s="66"/>
      <c r="S48" s="67"/>
      <c r="T48" s="68"/>
      <c r="U48" s="68"/>
      <c r="V48" s="69"/>
    </row>
    <row r="49" spans="3:22" x14ac:dyDescent="0.45">
      <c r="C49" s="176"/>
      <c r="D49" s="106" t="s">
        <v>61</v>
      </c>
      <c r="E49" s="106"/>
      <c r="F49" s="106"/>
      <c r="G49" s="108" t="s">
        <v>62</v>
      </c>
      <c r="H49" s="108"/>
      <c r="I49" s="108"/>
      <c r="J49" s="109"/>
      <c r="K49" s="112" t="s">
        <v>63</v>
      </c>
      <c r="L49" s="114"/>
      <c r="M49" s="115"/>
      <c r="N49" s="116"/>
      <c r="O49" s="116"/>
      <c r="P49" s="147"/>
      <c r="Q49" s="24" t="s">
        <v>31</v>
      </c>
      <c r="R49" s="62"/>
      <c r="S49" s="63"/>
      <c r="T49" s="64"/>
      <c r="U49" s="64"/>
      <c r="V49" s="65"/>
    </row>
    <row r="50" spans="3:22" x14ac:dyDescent="0.45">
      <c r="C50" s="176"/>
      <c r="D50" s="149"/>
      <c r="E50" s="149"/>
      <c r="F50" s="149"/>
      <c r="G50" s="150"/>
      <c r="H50" s="150"/>
      <c r="I50" s="150"/>
      <c r="J50" s="151"/>
      <c r="K50" s="152"/>
      <c r="L50" s="114"/>
      <c r="M50" s="115"/>
      <c r="N50" s="116"/>
      <c r="O50" s="116"/>
      <c r="P50" s="148"/>
      <c r="Q50" s="27" t="s">
        <v>32</v>
      </c>
      <c r="R50" s="66"/>
      <c r="S50" s="67"/>
      <c r="T50" s="68"/>
      <c r="U50" s="68"/>
      <c r="V50" s="69"/>
    </row>
    <row r="51" spans="3:22" x14ac:dyDescent="0.45">
      <c r="C51" s="177"/>
      <c r="D51" s="162" t="s">
        <v>64</v>
      </c>
      <c r="E51" s="163"/>
      <c r="F51" s="163"/>
      <c r="G51" s="166" t="s">
        <v>65</v>
      </c>
      <c r="H51" s="166"/>
      <c r="I51" s="166"/>
      <c r="J51" s="167"/>
      <c r="K51" s="140"/>
      <c r="L51" s="170"/>
      <c r="M51" s="172"/>
      <c r="N51" s="174"/>
      <c r="O51" s="174"/>
      <c r="P51" s="145"/>
      <c r="Q51" s="24" t="s">
        <v>31</v>
      </c>
      <c r="R51" s="70"/>
      <c r="S51" s="71"/>
      <c r="T51" s="72"/>
      <c r="U51" s="72"/>
      <c r="V51" s="73"/>
    </row>
    <row r="52" spans="3:22" x14ac:dyDescent="0.45">
      <c r="C52" s="177"/>
      <c r="D52" s="186"/>
      <c r="E52" s="187"/>
      <c r="F52" s="187"/>
      <c r="G52" s="184"/>
      <c r="H52" s="184"/>
      <c r="I52" s="184"/>
      <c r="J52" s="185"/>
      <c r="K52" s="141"/>
      <c r="L52" s="170"/>
      <c r="M52" s="172"/>
      <c r="N52" s="174"/>
      <c r="O52" s="174"/>
      <c r="P52" s="145"/>
      <c r="Q52" s="27" t="s">
        <v>32</v>
      </c>
      <c r="R52" s="74"/>
      <c r="S52" s="75"/>
      <c r="T52" s="76"/>
      <c r="U52" s="76"/>
      <c r="V52" s="77"/>
    </row>
    <row r="53" spans="3:22" x14ac:dyDescent="0.45">
      <c r="C53" s="177"/>
      <c r="D53" s="182" t="s">
        <v>66</v>
      </c>
      <c r="E53" s="166"/>
      <c r="F53" s="166"/>
      <c r="G53" s="166" t="s">
        <v>67</v>
      </c>
      <c r="H53" s="166"/>
      <c r="I53" s="166"/>
      <c r="J53" s="167"/>
      <c r="K53" s="23"/>
      <c r="L53" s="170"/>
      <c r="M53" s="172"/>
      <c r="N53" s="174"/>
      <c r="O53" s="174"/>
      <c r="P53" s="145"/>
      <c r="Q53" s="24" t="s">
        <v>31</v>
      </c>
      <c r="R53" s="70"/>
      <c r="S53" s="71"/>
      <c r="T53" s="72"/>
      <c r="U53" s="72"/>
      <c r="V53" s="73"/>
    </row>
    <row r="54" spans="3:22" x14ac:dyDescent="0.45">
      <c r="C54" s="177"/>
      <c r="D54" s="183"/>
      <c r="E54" s="184"/>
      <c r="F54" s="184"/>
      <c r="G54" s="184"/>
      <c r="H54" s="184"/>
      <c r="I54" s="184"/>
      <c r="J54" s="185"/>
      <c r="K54" s="25"/>
      <c r="L54" s="170"/>
      <c r="M54" s="172"/>
      <c r="N54" s="174"/>
      <c r="O54" s="174"/>
      <c r="P54" s="145"/>
      <c r="Q54" s="27" t="s">
        <v>32</v>
      </c>
      <c r="R54" s="74"/>
      <c r="S54" s="75"/>
      <c r="T54" s="76"/>
      <c r="U54" s="76"/>
      <c r="V54" s="77"/>
    </row>
    <row r="55" spans="3:22" x14ac:dyDescent="0.45">
      <c r="C55" s="177"/>
      <c r="D55" s="162" t="s">
        <v>68</v>
      </c>
      <c r="E55" s="163"/>
      <c r="F55" s="163"/>
      <c r="G55" s="166" t="s">
        <v>69</v>
      </c>
      <c r="H55" s="166"/>
      <c r="I55" s="166"/>
      <c r="J55" s="167"/>
      <c r="K55" s="33"/>
      <c r="L55" s="170"/>
      <c r="M55" s="172"/>
      <c r="N55" s="174"/>
      <c r="O55" s="174"/>
      <c r="P55" s="145"/>
      <c r="Q55" s="24" t="s">
        <v>31</v>
      </c>
      <c r="R55" s="70"/>
      <c r="S55" s="71"/>
      <c r="T55" s="72"/>
      <c r="U55" s="72"/>
      <c r="V55" s="73"/>
    </row>
    <row r="56" spans="3:22" ht="15.6" thickBot="1" x14ac:dyDescent="0.5">
      <c r="C56" s="178"/>
      <c r="D56" s="164"/>
      <c r="E56" s="165"/>
      <c r="F56" s="165"/>
      <c r="G56" s="168"/>
      <c r="H56" s="168"/>
      <c r="I56" s="168"/>
      <c r="J56" s="169"/>
      <c r="K56" s="34"/>
      <c r="L56" s="171"/>
      <c r="M56" s="173"/>
      <c r="N56" s="175"/>
      <c r="O56" s="175"/>
      <c r="P56" s="146"/>
      <c r="Q56" s="27" t="s">
        <v>32</v>
      </c>
      <c r="R56" s="74"/>
      <c r="S56" s="75"/>
      <c r="T56" s="76"/>
      <c r="U56" s="76"/>
      <c r="V56" s="77"/>
    </row>
    <row r="57" spans="3:22" ht="15.75" customHeight="1" x14ac:dyDescent="0.45">
      <c r="C57" s="128" t="s">
        <v>70</v>
      </c>
      <c r="D57" s="153" t="s">
        <v>71</v>
      </c>
      <c r="E57" s="154"/>
      <c r="F57" s="155" t="s">
        <v>72</v>
      </c>
      <c r="G57" s="156"/>
      <c r="H57" s="156"/>
      <c r="I57" s="156"/>
      <c r="J57" s="157"/>
      <c r="K57" s="158" t="s">
        <v>73</v>
      </c>
      <c r="L57" s="159"/>
      <c r="M57" s="160"/>
      <c r="N57" s="161"/>
      <c r="O57" s="161"/>
      <c r="P57" s="148"/>
      <c r="Q57" s="24" t="s">
        <v>31</v>
      </c>
      <c r="R57" s="62"/>
      <c r="S57" s="63"/>
      <c r="T57" s="64"/>
      <c r="U57" s="64"/>
      <c r="V57" s="65"/>
    </row>
    <row r="58" spans="3:22" x14ac:dyDescent="0.45">
      <c r="C58" s="129"/>
      <c r="D58" s="120"/>
      <c r="E58" s="121"/>
      <c r="F58" s="125"/>
      <c r="G58" s="126"/>
      <c r="H58" s="126"/>
      <c r="I58" s="126"/>
      <c r="J58" s="127"/>
      <c r="K58" s="141"/>
      <c r="L58" s="114"/>
      <c r="M58" s="115"/>
      <c r="N58" s="116"/>
      <c r="O58" s="116"/>
      <c r="P58" s="105"/>
      <c r="Q58" s="27" t="s">
        <v>32</v>
      </c>
      <c r="R58" s="66"/>
      <c r="S58" s="67"/>
      <c r="T58" s="68"/>
      <c r="U58" s="68"/>
      <c r="V58" s="69"/>
    </row>
    <row r="59" spans="3:22" ht="15.75" customHeight="1" x14ac:dyDescent="0.45">
      <c r="C59" s="129"/>
      <c r="D59" s="132" t="s">
        <v>74</v>
      </c>
      <c r="E59" s="133"/>
      <c r="F59" s="134" t="s">
        <v>75</v>
      </c>
      <c r="G59" s="135"/>
      <c r="H59" s="135"/>
      <c r="I59" s="135"/>
      <c r="J59" s="136"/>
      <c r="K59" s="140" t="s">
        <v>48</v>
      </c>
      <c r="L59" s="114"/>
      <c r="M59" s="115"/>
      <c r="N59" s="116"/>
      <c r="O59" s="116"/>
      <c r="P59" s="105"/>
      <c r="Q59" s="24" t="s">
        <v>31</v>
      </c>
      <c r="R59" s="62"/>
      <c r="S59" s="63"/>
      <c r="T59" s="64"/>
      <c r="U59" s="64"/>
      <c r="V59" s="65"/>
    </row>
    <row r="60" spans="3:22" x14ac:dyDescent="0.45">
      <c r="C60" s="129"/>
      <c r="D60" s="132"/>
      <c r="E60" s="133"/>
      <c r="F60" s="137"/>
      <c r="G60" s="138"/>
      <c r="H60" s="138"/>
      <c r="I60" s="138"/>
      <c r="J60" s="139"/>
      <c r="K60" s="141"/>
      <c r="L60" s="114"/>
      <c r="M60" s="115"/>
      <c r="N60" s="116"/>
      <c r="O60" s="116"/>
      <c r="P60" s="105"/>
      <c r="Q60" s="27" t="s">
        <v>32</v>
      </c>
      <c r="R60" s="66"/>
      <c r="S60" s="67"/>
      <c r="T60" s="68"/>
      <c r="U60" s="68"/>
      <c r="V60" s="69"/>
    </row>
    <row r="61" spans="3:22" ht="15.75" customHeight="1" x14ac:dyDescent="0.45">
      <c r="C61" s="129"/>
      <c r="D61" s="132"/>
      <c r="E61" s="133"/>
      <c r="F61" s="122" t="s">
        <v>76</v>
      </c>
      <c r="G61" s="123"/>
      <c r="H61" s="123"/>
      <c r="I61" s="123"/>
      <c r="J61" s="124"/>
      <c r="K61" s="35"/>
      <c r="L61" s="114"/>
      <c r="M61" s="115"/>
      <c r="N61" s="116"/>
      <c r="O61" s="116"/>
      <c r="P61" s="105"/>
      <c r="Q61" s="24" t="s">
        <v>31</v>
      </c>
      <c r="R61" s="62"/>
      <c r="S61" s="63"/>
      <c r="T61" s="64"/>
      <c r="U61" s="64"/>
      <c r="V61" s="65"/>
    </row>
    <row r="62" spans="3:22" x14ac:dyDescent="0.45">
      <c r="C62" s="129"/>
      <c r="D62" s="120"/>
      <c r="E62" s="121"/>
      <c r="F62" s="125"/>
      <c r="G62" s="126"/>
      <c r="H62" s="126"/>
      <c r="I62" s="126"/>
      <c r="J62" s="127"/>
      <c r="K62" s="36"/>
      <c r="L62" s="114"/>
      <c r="M62" s="115"/>
      <c r="N62" s="116"/>
      <c r="O62" s="116"/>
      <c r="P62" s="105"/>
      <c r="Q62" s="27" t="s">
        <v>32</v>
      </c>
      <c r="R62" s="66"/>
      <c r="S62" s="67"/>
      <c r="T62" s="68"/>
      <c r="U62" s="68"/>
      <c r="V62" s="69"/>
    </row>
    <row r="63" spans="3:22" ht="15.75" customHeight="1" x14ac:dyDescent="0.45">
      <c r="C63" s="129"/>
      <c r="D63" s="118" t="s">
        <v>77</v>
      </c>
      <c r="E63" s="119"/>
      <c r="F63" s="122" t="s">
        <v>78</v>
      </c>
      <c r="G63" s="123"/>
      <c r="H63" s="123"/>
      <c r="I63" s="123"/>
      <c r="J63" s="124"/>
      <c r="K63" s="35"/>
      <c r="L63" s="114"/>
      <c r="M63" s="115"/>
      <c r="N63" s="116"/>
      <c r="O63" s="116"/>
      <c r="P63" s="105"/>
      <c r="Q63" s="24" t="s">
        <v>31</v>
      </c>
      <c r="R63" s="62"/>
      <c r="S63" s="63"/>
      <c r="T63" s="64"/>
      <c r="U63" s="64"/>
      <c r="V63" s="65"/>
    </row>
    <row r="64" spans="3:22" x14ac:dyDescent="0.45">
      <c r="C64" s="129"/>
      <c r="D64" s="120"/>
      <c r="E64" s="121"/>
      <c r="F64" s="125"/>
      <c r="G64" s="126"/>
      <c r="H64" s="126"/>
      <c r="I64" s="126"/>
      <c r="J64" s="127"/>
      <c r="K64" s="36"/>
      <c r="L64" s="114"/>
      <c r="M64" s="115"/>
      <c r="N64" s="116"/>
      <c r="O64" s="116"/>
      <c r="P64" s="105"/>
      <c r="Q64" s="27" t="s">
        <v>32</v>
      </c>
      <c r="R64" s="66"/>
      <c r="S64" s="67"/>
      <c r="T64" s="68"/>
      <c r="U64" s="68"/>
      <c r="V64" s="69"/>
    </row>
    <row r="65" spans="3:22" x14ac:dyDescent="0.45">
      <c r="C65" s="130"/>
      <c r="D65" s="106" t="s">
        <v>61</v>
      </c>
      <c r="E65" s="106"/>
      <c r="F65" s="106"/>
      <c r="G65" s="108"/>
      <c r="H65" s="108"/>
      <c r="I65" s="108"/>
      <c r="J65" s="109"/>
      <c r="K65" s="112" t="s">
        <v>79</v>
      </c>
      <c r="L65" s="114"/>
      <c r="M65" s="115"/>
      <c r="N65" s="116"/>
      <c r="O65" s="116"/>
      <c r="P65" s="105"/>
      <c r="Q65" s="24" t="s">
        <v>31</v>
      </c>
      <c r="R65" s="62"/>
      <c r="S65" s="63"/>
      <c r="T65" s="64"/>
      <c r="U65" s="64"/>
      <c r="V65" s="65"/>
    </row>
    <row r="66" spans="3:22" ht="15.6" thickBot="1" x14ac:dyDescent="0.5">
      <c r="C66" s="131"/>
      <c r="D66" s="107"/>
      <c r="E66" s="107"/>
      <c r="F66" s="107"/>
      <c r="G66" s="110"/>
      <c r="H66" s="110"/>
      <c r="I66" s="110"/>
      <c r="J66" s="111"/>
      <c r="K66" s="113"/>
      <c r="L66" s="100"/>
      <c r="M66" s="102"/>
      <c r="N66" s="104"/>
      <c r="O66" s="104"/>
      <c r="P66" s="117"/>
      <c r="Q66" s="27" t="s">
        <v>32</v>
      </c>
      <c r="R66" s="66"/>
      <c r="S66" s="67"/>
      <c r="T66" s="68"/>
      <c r="U66" s="68"/>
      <c r="V66" s="69"/>
    </row>
    <row r="67" spans="3:22" x14ac:dyDescent="0.45">
      <c r="C67" s="92" t="s">
        <v>26</v>
      </c>
      <c r="D67" s="94" t="s">
        <v>80</v>
      </c>
      <c r="E67" s="95"/>
      <c r="F67" s="95"/>
      <c r="G67" s="96"/>
      <c r="H67" s="96"/>
      <c r="I67" s="96"/>
      <c r="J67" s="96"/>
      <c r="K67" s="52"/>
      <c r="L67" s="99"/>
      <c r="M67" s="101"/>
      <c r="N67" s="103"/>
      <c r="O67" s="103"/>
      <c r="P67" s="144"/>
      <c r="Q67" s="24" t="s">
        <v>31</v>
      </c>
      <c r="R67" s="62"/>
      <c r="S67" s="63"/>
      <c r="T67" s="64"/>
      <c r="U67" s="64"/>
      <c r="V67" s="65"/>
    </row>
    <row r="68" spans="3:22" ht="15.6" thickBot="1" x14ac:dyDescent="0.5">
      <c r="C68" s="93"/>
      <c r="D68" s="97"/>
      <c r="E68" s="98"/>
      <c r="F68" s="98"/>
      <c r="G68" s="98"/>
      <c r="H68" s="98"/>
      <c r="I68" s="98"/>
      <c r="J68" s="98"/>
      <c r="K68" s="34"/>
      <c r="L68" s="100"/>
      <c r="M68" s="102"/>
      <c r="N68" s="104"/>
      <c r="O68" s="104"/>
      <c r="P68" s="117"/>
      <c r="Q68" s="27" t="s">
        <v>32</v>
      </c>
      <c r="R68" s="66"/>
      <c r="S68" s="67"/>
      <c r="T68" s="68"/>
      <c r="U68" s="68"/>
      <c r="V68" s="69"/>
    </row>
    <row r="70" spans="3:22" x14ac:dyDescent="0.45">
      <c r="C70" s="53" t="s">
        <v>81</v>
      </c>
      <c r="D70" s="3" t="s">
        <v>82</v>
      </c>
    </row>
    <row r="71" spans="3:22" x14ac:dyDescent="0.45">
      <c r="C71" s="53" t="s">
        <v>83</v>
      </c>
      <c r="D71" s="3" t="s">
        <v>84</v>
      </c>
    </row>
    <row r="72" spans="3:22" x14ac:dyDescent="0.45">
      <c r="D72" s="3" t="s">
        <v>85</v>
      </c>
    </row>
    <row r="73" spans="3:22" x14ac:dyDescent="0.45">
      <c r="C73" s="53" t="s">
        <v>86</v>
      </c>
      <c r="D73" s="3" t="s">
        <v>87</v>
      </c>
    </row>
    <row r="74" spans="3:22" x14ac:dyDescent="0.45">
      <c r="G74" s="2"/>
      <c r="H74" s="2"/>
      <c r="I74" s="2"/>
      <c r="J74" s="2"/>
      <c r="K74" s="2"/>
      <c r="Q74" s="2"/>
    </row>
  </sheetData>
  <mergeCells count="217">
    <mergeCell ref="S5:U5"/>
    <mergeCell ref="S6:U6"/>
    <mergeCell ref="C5:C6"/>
    <mergeCell ref="D5:D6"/>
    <mergeCell ref="E5:E6"/>
    <mergeCell ref="F5:F6"/>
    <mergeCell ref="G5:G6"/>
    <mergeCell ref="H5:H6"/>
    <mergeCell ref="C13:C20"/>
    <mergeCell ref="D13:F16"/>
    <mergeCell ref="G13:J14"/>
    <mergeCell ref="L13:L14"/>
    <mergeCell ref="M13:M14"/>
    <mergeCell ref="N13:N14"/>
    <mergeCell ref="I5:I6"/>
    <mergeCell ref="J5:J6"/>
    <mergeCell ref="K5:K6"/>
    <mergeCell ref="L5:L6"/>
    <mergeCell ref="O13:O14"/>
    <mergeCell ref="P13:P14"/>
    <mergeCell ref="G15:J16"/>
    <mergeCell ref="L15:L16"/>
    <mergeCell ref="M15:M16"/>
    <mergeCell ref="N15:N16"/>
    <mergeCell ref="O15:O16"/>
    <mergeCell ref="P15:P16"/>
    <mergeCell ref="S7:U7"/>
    <mergeCell ref="S8:U8"/>
    <mergeCell ref="L11:P11"/>
    <mergeCell ref="Q11:V11"/>
    <mergeCell ref="D19:J20"/>
    <mergeCell ref="L19:L20"/>
    <mergeCell ref="M19:M20"/>
    <mergeCell ref="N19:N20"/>
    <mergeCell ref="O19:O20"/>
    <mergeCell ref="P19:P20"/>
    <mergeCell ref="G17:J18"/>
    <mergeCell ref="L17:L18"/>
    <mergeCell ref="M17:M18"/>
    <mergeCell ref="N17:N18"/>
    <mergeCell ref="O17:O18"/>
    <mergeCell ref="P17:P18"/>
    <mergeCell ref="C21:C36"/>
    <mergeCell ref="D21:F24"/>
    <mergeCell ref="G21:J22"/>
    <mergeCell ref="L21:L22"/>
    <mergeCell ref="M21:M22"/>
    <mergeCell ref="N21:N22"/>
    <mergeCell ref="G25:J26"/>
    <mergeCell ref="K25:K26"/>
    <mergeCell ref="L25:L26"/>
    <mergeCell ref="M25:M26"/>
    <mergeCell ref="D27:F30"/>
    <mergeCell ref="G27:J28"/>
    <mergeCell ref="L27:L28"/>
    <mergeCell ref="M27:M28"/>
    <mergeCell ref="N27:N28"/>
    <mergeCell ref="G29:J30"/>
    <mergeCell ref="L29:L30"/>
    <mergeCell ref="M29:M30"/>
    <mergeCell ref="N29:N30"/>
    <mergeCell ref="O27:O28"/>
    <mergeCell ref="P27:P28"/>
    <mergeCell ref="O21:O22"/>
    <mergeCell ref="P21:P22"/>
    <mergeCell ref="G23:J24"/>
    <mergeCell ref="L23:L24"/>
    <mergeCell ref="M23:M24"/>
    <mergeCell ref="N23:N24"/>
    <mergeCell ref="O23:O24"/>
    <mergeCell ref="P23:P24"/>
    <mergeCell ref="O29:O30"/>
    <mergeCell ref="P29:P30"/>
    <mergeCell ref="N25:N26"/>
    <mergeCell ref="O25:O26"/>
    <mergeCell ref="P25:P26"/>
    <mergeCell ref="D35:F35"/>
    <mergeCell ref="G35:J36"/>
    <mergeCell ref="K35:K36"/>
    <mergeCell ref="L35:L36"/>
    <mergeCell ref="M35:M36"/>
    <mergeCell ref="N35:N36"/>
    <mergeCell ref="P31:P32"/>
    <mergeCell ref="D33:F34"/>
    <mergeCell ref="K33:K34"/>
    <mergeCell ref="L33:L34"/>
    <mergeCell ref="M33:M34"/>
    <mergeCell ref="N33:N34"/>
    <mergeCell ref="O33:O34"/>
    <mergeCell ref="P33:P34"/>
    <mergeCell ref="G31:J32"/>
    <mergeCell ref="K31:K32"/>
    <mergeCell ref="L31:L32"/>
    <mergeCell ref="M31:M32"/>
    <mergeCell ref="N31:N32"/>
    <mergeCell ref="O31:O32"/>
    <mergeCell ref="P37:P38"/>
    <mergeCell ref="G39:J40"/>
    <mergeCell ref="L39:L40"/>
    <mergeCell ref="M39:M40"/>
    <mergeCell ref="N39:N40"/>
    <mergeCell ref="O39:O40"/>
    <mergeCell ref="P39:P40"/>
    <mergeCell ref="O35:O36"/>
    <mergeCell ref="P35:P36"/>
    <mergeCell ref="G37:J38"/>
    <mergeCell ref="K37:K38"/>
    <mergeCell ref="L37:L38"/>
    <mergeCell ref="M37:M38"/>
    <mergeCell ref="N37:N38"/>
    <mergeCell ref="O37:O38"/>
    <mergeCell ref="G41:J42"/>
    <mergeCell ref="K41:K42"/>
    <mergeCell ref="L41:L42"/>
    <mergeCell ref="M41:M42"/>
    <mergeCell ref="N41:N42"/>
    <mergeCell ref="O41:O42"/>
    <mergeCell ref="L45:L46"/>
    <mergeCell ref="M45:M46"/>
    <mergeCell ref="N45:N46"/>
    <mergeCell ref="O45:O46"/>
    <mergeCell ref="D43:F46"/>
    <mergeCell ref="G43:J44"/>
    <mergeCell ref="K43:K44"/>
    <mergeCell ref="L43:L44"/>
    <mergeCell ref="M43:M44"/>
    <mergeCell ref="N43:N44"/>
    <mergeCell ref="O43:O44"/>
    <mergeCell ref="P43:P44"/>
    <mergeCell ref="G45:J46"/>
    <mergeCell ref="P45:P46"/>
    <mergeCell ref="C37:C56"/>
    <mergeCell ref="D37:F40"/>
    <mergeCell ref="P59:P60"/>
    <mergeCell ref="F61:J62"/>
    <mergeCell ref="L61:L62"/>
    <mergeCell ref="M61:M62"/>
    <mergeCell ref="N61:N62"/>
    <mergeCell ref="O61:O62"/>
    <mergeCell ref="O51:O52"/>
    <mergeCell ref="P51:P52"/>
    <mergeCell ref="D53:F54"/>
    <mergeCell ref="G53:J54"/>
    <mergeCell ref="L53:L54"/>
    <mergeCell ref="M53:M54"/>
    <mergeCell ref="N53:N54"/>
    <mergeCell ref="O53:O54"/>
    <mergeCell ref="P53:P54"/>
    <mergeCell ref="D51:F52"/>
    <mergeCell ref="G51:J52"/>
    <mergeCell ref="K51:K52"/>
    <mergeCell ref="L51:L52"/>
    <mergeCell ref="M51:M52"/>
    <mergeCell ref="N51:N52"/>
    <mergeCell ref="G47:J48"/>
    <mergeCell ref="D57:E58"/>
    <mergeCell ref="F57:J58"/>
    <mergeCell ref="K57:K58"/>
    <mergeCell ref="L57:L58"/>
    <mergeCell ref="M57:M58"/>
    <mergeCell ref="N57:N58"/>
    <mergeCell ref="O57:O58"/>
    <mergeCell ref="P57:P58"/>
    <mergeCell ref="D55:F56"/>
    <mergeCell ref="G55:J56"/>
    <mergeCell ref="L55:L56"/>
    <mergeCell ref="M55:M56"/>
    <mergeCell ref="N55:N56"/>
    <mergeCell ref="O55:O56"/>
    <mergeCell ref="F59:J60"/>
    <mergeCell ref="K59:K60"/>
    <mergeCell ref="L59:L60"/>
    <mergeCell ref="M59:M60"/>
    <mergeCell ref="N59:N60"/>
    <mergeCell ref="K2:L2"/>
    <mergeCell ref="P67:P68"/>
    <mergeCell ref="O59:O60"/>
    <mergeCell ref="P55:P56"/>
    <mergeCell ref="K47:K48"/>
    <mergeCell ref="L47:L48"/>
    <mergeCell ref="M47:M48"/>
    <mergeCell ref="N47:N48"/>
    <mergeCell ref="O47:O48"/>
    <mergeCell ref="P47:P48"/>
    <mergeCell ref="D49:F50"/>
    <mergeCell ref="G49:J50"/>
    <mergeCell ref="K49:K50"/>
    <mergeCell ref="L49:L50"/>
    <mergeCell ref="M49:M50"/>
    <mergeCell ref="N49:N50"/>
    <mergeCell ref="O49:O50"/>
    <mergeCell ref="P49:P50"/>
    <mergeCell ref="P41:P42"/>
    <mergeCell ref="C67:C68"/>
    <mergeCell ref="D67:J68"/>
    <mergeCell ref="L67:L68"/>
    <mergeCell ref="M67:M68"/>
    <mergeCell ref="N67:N68"/>
    <mergeCell ref="O67:O68"/>
    <mergeCell ref="P63:P64"/>
    <mergeCell ref="D65:F66"/>
    <mergeCell ref="G65:J66"/>
    <mergeCell ref="K65:K66"/>
    <mergeCell ref="L65:L66"/>
    <mergeCell ref="M65:M66"/>
    <mergeCell ref="N65:N66"/>
    <mergeCell ref="O65:O66"/>
    <mergeCell ref="P65:P66"/>
    <mergeCell ref="D63:E64"/>
    <mergeCell ref="F63:J64"/>
    <mergeCell ref="L63:L64"/>
    <mergeCell ref="M63:M64"/>
    <mergeCell ref="N63:N64"/>
    <mergeCell ref="O63:O64"/>
    <mergeCell ref="C57:C66"/>
    <mergeCell ref="P61:P62"/>
    <mergeCell ref="D59:E62"/>
  </mergeCells>
  <phoneticPr fontId="3"/>
  <conditionalFormatting sqref="L49:P50 R49:V50">
    <cfRule type="expression" dxfId="5" priority="2">
      <formula>L49&lt;&gt;L65</formula>
    </cfRule>
  </conditionalFormatting>
  <conditionalFormatting sqref="L65:P66 R65:V66">
    <cfRule type="expression" dxfId="4" priority="1">
      <formula>L65&lt;&gt;L49</formula>
    </cfRule>
  </conditionalFormatting>
  <pageMargins left="0.23622047244094491" right="0.23622047244094491" top="0.74803149606299213" bottom="0.74803149606299213" header="0.31496062992125984" footer="0.31496062992125984"/>
  <pageSetup paperSize="9" scale="57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32E7-7C31-4CFE-9828-B7CDE2F76711}">
  <sheetPr>
    <pageSetUpPr fitToPage="1"/>
  </sheetPr>
  <dimension ref="B2:AS67"/>
  <sheetViews>
    <sheetView showGridLines="0" zoomScale="70" zoomScaleNormal="70" workbookViewId="0"/>
  </sheetViews>
  <sheetFormatPr defaultColWidth="9" defaultRowHeight="15" x14ac:dyDescent="0.45"/>
  <cols>
    <col min="1" max="1" width="1.69921875" style="89" customWidth="1"/>
    <col min="2" max="45" width="7.5" style="89" customWidth="1"/>
    <col min="46" max="16384" width="9" style="89"/>
  </cols>
  <sheetData>
    <row r="2" spans="2:45" ht="22.8" x14ac:dyDescent="0.45">
      <c r="B2" s="1" t="s">
        <v>104</v>
      </c>
      <c r="J2" s="90" t="str">
        <f>TEXT(年報!BY2,"yyyy年度下期")</f>
        <v>@対象年月</v>
      </c>
    </row>
    <row r="5" spans="2:45" x14ac:dyDescent="0.45">
      <c r="AO5" s="6" t="s">
        <v>12</v>
      </c>
      <c r="AP5" s="221" t="str">
        <f>月報!S5</f>
        <v>@工場</v>
      </c>
      <c r="AQ5" s="221"/>
      <c r="AR5" s="221"/>
    </row>
    <row r="6" spans="2:45" x14ac:dyDescent="0.45">
      <c r="AO6" s="6" t="s">
        <v>13</v>
      </c>
      <c r="AP6" s="221" t="str">
        <f>月報!S6</f>
        <v>@プラント</v>
      </c>
      <c r="AQ6" s="221"/>
      <c r="AR6" s="221"/>
    </row>
    <row r="7" spans="2:45" x14ac:dyDescent="0.45">
      <c r="AO7" s="6" t="s">
        <v>15</v>
      </c>
      <c r="AP7" s="221" t="str">
        <f>月報!S7</f>
        <v>@工程</v>
      </c>
      <c r="AQ7" s="221"/>
      <c r="AR7" s="221"/>
    </row>
    <row r="8" spans="2:45" x14ac:dyDescent="0.45">
      <c r="AO8" s="6" t="s">
        <v>17</v>
      </c>
      <c r="AP8" s="221" t="str">
        <f>月報!S8</f>
        <v>@職種</v>
      </c>
      <c r="AQ8" s="221"/>
      <c r="AR8" s="221"/>
    </row>
    <row r="9" spans="2:45" ht="15.6" thickBot="1" x14ac:dyDescent="0.5"/>
    <row r="10" spans="2:45" ht="16.8" thickBot="1" x14ac:dyDescent="0.5">
      <c r="B10" s="4"/>
      <c r="C10" s="3"/>
      <c r="D10" s="3"/>
      <c r="E10" s="3"/>
      <c r="F10" s="3"/>
      <c r="G10" s="3"/>
      <c r="H10" s="3"/>
      <c r="I10" s="3"/>
      <c r="J10" s="3"/>
      <c r="K10" s="222" t="e">
        <f>年報!AO10</f>
        <v>#VALUE!</v>
      </c>
      <c r="L10" s="223"/>
      <c r="M10" s="223"/>
      <c r="N10" s="223"/>
      <c r="O10" s="224"/>
      <c r="P10" s="222" t="e">
        <f>年報!AT10</f>
        <v>#VALUE!</v>
      </c>
      <c r="Q10" s="223"/>
      <c r="R10" s="223"/>
      <c r="S10" s="223"/>
      <c r="T10" s="224"/>
      <c r="U10" s="222" t="e">
        <f>年報!AY10</f>
        <v>#VALUE!</v>
      </c>
      <c r="V10" s="223"/>
      <c r="W10" s="223"/>
      <c r="X10" s="223"/>
      <c r="Y10" s="224"/>
      <c r="Z10" s="222" t="e">
        <f>年報!BD10</f>
        <v>#VALUE!</v>
      </c>
      <c r="AA10" s="223"/>
      <c r="AB10" s="223"/>
      <c r="AC10" s="223"/>
      <c r="AD10" s="224"/>
      <c r="AE10" s="222" t="e">
        <f>年報!BI10</f>
        <v>#VALUE!</v>
      </c>
      <c r="AF10" s="223"/>
      <c r="AG10" s="223"/>
      <c r="AH10" s="223"/>
      <c r="AI10" s="224"/>
      <c r="AJ10" s="222" t="e">
        <f>年報!BN10</f>
        <v>#VALUE!</v>
      </c>
      <c r="AK10" s="223"/>
      <c r="AL10" s="223"/>
      <c r="AM10" s="223"/>
      <c r="AN10" s="224"/>
      <c r="AO10" s="223" t="s">
        <v>105</v>
      </c>
      <c r="AP10" s="223"/>
      <c r="AQ10" s="223"/>
      <c r="AR10" s="223"/>
      <c r="AS10" s="224"/>
    </row>
    <row r="11" spans="2:45" ht="15.6" thickBot="1" x14ac:dyDescent="0.5">
      <c r="B11" s="10"/>
      <c r="C11" s="11"/>
      <c r="D11" s="11"/>
      <c r="E11" s="11"/>
      <c r="F11" s="11" t="s">
        <v>22</v>
      </c>
      <c r="G11" s="11"/>
      <c r="H11" s="11"/>
      <c r="I11" s="11"/>
      <c r="J11" s="11"/>
      <c r="K11" s="12" t="s">
        <v>23</v>
      </c>
      <c r="L11" s="13" t="s">
        <v>24</v>
      </c>
      <c r="M11" s="14" t="s">
        <v>25</v>
      </c>
      <c r="N11" s="15" t="s">
        <v>26</v>
      </c>
      <c r="O11" s="16" t="s">
        <v>27</v>
      </c>
      <c r="P11" s="12" t="s">
        <v>23</v>
      </c>
      <c r="Q11" s="13" t="s">
        <v>24</v>
      </c>
      <c r="R11" s="14" t="s">
        <v>25</v>
      </c>
      <c r="S11" s="15" t="s">
        <v>26</v>
      </c>
      <c r="T11" s="16" t="s">
        <v>27</v>
      </c>
      <c r="U11" s="12" t="s">
        <v>23</v>
      </c>
      <c r="V11" s="13" t="s">
        <v>24</v>
      </c>
      <c r="W11" s="14" t="s">
        <v>25</v>
      </c>
      <c r="X11" s="15" t="s">
        <v>26</v>
      </c>
      <c r="Y11" s="16" t="s">
        <v>27</v>
      </c>
      <c r="Z11" s="12" t="s">
        <v>23</v>
      </c>
      <c r="AA11" s="13" t="s">
        <v>24</v>
      </c>
      <c r="AB11" s="14" t="s">
        <v>25</v>
      </c>
      <c r="AC11" s="15" t="s">
        <v>26</v>
      </c>
      <c r="AD11" s="16" t="s">
        <v>27</v>
      </c>
      <c r="AE11" s="12" t="s">
        <v>23</v>
      </c>
      <c r="AF11" s="13" t="s">
        <v>24</v>
      </c>
      <c r="AG11" s="14" t="s">
        <v>25</v>
      </c>
      <c r="AH11" s="15" t="s">
        <v>26</v>
      </c>
      <c r="AI11" s="16" t="s">
        <v>27</v>
      </c>
      <c r="AJ11" s="12" t="s">
        <v>23</v>
      </c>
      <c r="AK11" s="13" t="s">
        <v>24</v>
      </c>
      <c r="AL11" s="14" t="s">
        <v>25</v>
      </c>
      <c r="AM11" s="15" t="s">
        <v>26</v>
      </c>
      <c r="AN11" s="16" t="s">
        <v>27</v>
      </c>
      <c r="AO11" s="18" t="s">
        <v>23</v>
      </c>
      <c r="AP11" s="19" t="s">
        <v>24</v>
      </c>
      <c r="AQ11" s="20" t="s">
        <v>25</v>
      </c>
      <c r="AR11" s="21" t="s">
        <v>26</v>
      </c>
      <c r="AS11" s="22" t="s">
        <v>27</v>
      </c>
    </row>
    <row r="12" spans="2:45" ht="15.6" thickTop="1" x14ac:dyDescent="0.45">
      <c r="B12" s="231" t="s">
        <v>28</v>
      </c>
      <c r="C12" s="234" t="s">
        <v>29</v>
      </c>
      <c r="D12" s="235"/>
      <c r="E12" s="236"/>
      <c r="F12" s="213" t="s">
        <v>30</v>
      </c>
      <c r="G12" s="238"/>
      <c r="H12" s="238"/>
      <c r="I12" s="239"/>
      <c r="J12" s="23"/>
      <c r="K12" s="159" t="str">
        <f>年報!AO12</f>
        <v>@集計項目出力31</v>
      </c>
      <c r="L12" s="160" t="str">
        <f>年報!AP12</f>
        <v>@集計項目出力32</v>
      </c>
      <c r="M12" s="161" t="str">
        <f>年報!AQ12</f>
        <v>@集計項目出力33</v>
      </c>
      <c r="N12" s="161" t="str">
        <f>年報!AR12</f>
        <v>@集計項目出力34</v>
      </c>
      <c r="O12" s="148" t="str">
        <f>年報!AS12</f>
        <v>@集計項目出力35</v>
      </c>
      <c r="P12" s="159" t="str">
        <f>年報!AT12</f>
        <v>@集計項目出力36</v>
      </c>
      <c r="Q12" s="160" t="str">
        <f>年報!AU12</f>
        <v>@集計項目出力37</v>
      </c>
      <c r="R12" s="161" t="str">
        <f>年報!AV12</f>
        <v>@集計項目出力38</v>
      </c>
      <c r="S12" s="161" t="str">
        <f>年報!AW12</f>
        <v>@集計項目出力39</v>
      </c>
      <c r="T12" s="148" t="str">
        <f>年報!AX12</f>
        <v>@集計項目出力40</v>
      </c>
      <c r="U12" s="159" t="str">
        <f>年報!AY12</f>
        <v>@集計項目出力41</v>
      </c>
      <c r="V12" s="160" t="str">
        <f>年報!AZ12</f>
        <v>@集計項目出力42</v>
      </c>
      <c r="W12" s="161" t="str">
        <f>年報!BA12</f>
        <v>@集計項目出力43</v>
      </c>
      <c r="X12" s="161" t="str">
        <f>年報!BB12</f>
        <v>@集計項目出力44</v>
      </c>
      <c r="Y12" s="148" t="str">
        <f>年報!BC12</f>
        <v>@集計項目出力45</v>
      </c>
      <c r="Z12" s="159" t="str">
        <f>年報!BD12</f>
        <v>@集計項目出力46</v>
      </c>
      <c r="AA12" s="160" t="str">
        <f>年報!BE12</f>
        <v>@集計項目出力47</v>
      </c>
      <c r="AB12" s="161" t="str">
        <f>年報!BF12</f>
        <v>@集計項目出力48</v>
      </c>
      <c r="AC12" s="161" t="str">
        <f>年報!BG12</f>
        <v>@集計項目出力49</v>
      </c>
      <c r="AD12" s="148" t="str">
        <f>年報!BH12</f>
        <v>@集計項目出力50</v>
      </c>
      <c r="AE12" s="159" t="str">
        <f>年報!BI12</f>
        <v>@集計項目出力51</v>
      </c>
      <c r="AF12" s="160" t="str">
        <f>年報!BJ12</f>
        <v>@集計項目出力52</v>
      </c>
      <c r="AG12" s="161" t="str">
        <f>年報!BK12</f>
        <v>@集計項目出力53</v>
      </c>
      <c r="AH12" s="161" t="str">
        <f>年報!BL12</f>
        <v>@集計項目出力54</v>
      </c>
      <c r="AI12" s="148" t="str">
        <f>年報!BM12</f>
        <v>@集計項目出力55</v>
      </c>
      <c r="AJ12" s="159" t="str">
        <f>年報!BN12</f>
        <v>@集計項目出力56</v>
      </c>
      <c r="AK12" s="160" t="str">
        <f>年報!BO12</f>
        <v>@集計項目出力57</v>
      </c>
      <c r="AL12" s="161" t="str">
        <f>年報!BP12</f>
        <v>@集計項目出力58</v>
      </c>
      <c r="AM12" s="161" t="str">
        <f>年報!BQ12</f>
        <v>@集計項目出力59</v>
      </c>
      <c r="AN12" s="148" t="str">
        <f>年報!BR12</f>
        <v>@集計項目出力60</v>
      </c>
      <c r="AO12" s="159" t="str">
        <f>月報!R13</f>
        <v>@集計項目出力6</v>
      </c>
      <c r="AP12" s="160" t="str">
        <f>月報!S13</f>
        <v>@集計項目出力7</v>
      </c>
      <c r="AQ12" s="161" t="str">
        <f>月報!T13</f>
        <v>@集計項目出力8</v>
      </c>
      <c r="AR12" s="161" t="str">
        <f>月報!U13</f>
        <v>@集計項目出力9</v>
      </c>
      <c r="AS12" s="148" t="str">
        <f>月報!V13</f>
        <v>@集計項目出力10</v>
      </c>
    </row>
    <row r="13" spans="2:45" x14ac:dyDescent="0.45">
      <c r="B13" s="232"/>
      <c r="C13" s="195"/>
      <c r="D13" s="196"/>
      <c r="E13" s="237"/>
      <c r="F13" s="183"/>
      <c r="G13" s="184"/>
      <c r="H13" s="184"/>
      <c r="I13" s="185"/>
      <c r="J13" s="25"/>
      <c r="K13" s="114"/>
      <c r="L13" s="115"/>
      <c r="M13" s="116"/>
      <c r="N13" s="116"/>
      <c r="O13" s="105"/>
      <c r="P13" s="114"/>
      <c r="Q13" s="115"/>
      <c r="R13" s="116"/>
      <c r="S13" s="116"/>
      <c r="T13" s="105"/>
      <c r="U13" s="114"/>
      <c r="V13" s="115"/>
      <c r="W13" s="116"/>
      <c r="X13" s="116"/>
      <c r="Y13" s="105"/>
      <c r="Z13" s="114"/>
      <c r="AA13" s="115"/>
      <c r="AB13" s="116"/>
      <c r="AC13" s="116"/>
      <c r="AD13" s="105"/>
      <c r="AE13" s="114"/>
      <c r="AF13" s="115"/>
      <c r="AG13" s="116"/>
      <c r="AH13" s="116"/>
      <c r="AI13" s="105"/>
      <c r="AJ13" s="114"/>
      <c r="AK13" s="115"/>
      <c r="AL13" s="116"/>
      <c r="AM13" s="116"/>
      <c r="AN13" s="105"/>
      <c r="AO13" s="114"/>
      <c r="AP13" s="115"/>
      <c r="AQ13" s="116"/>
      <c r="AR13" s="116"/>
      <c r="AS13" s="105"/>
    </row>
    <row r="14" spans="2:45" x14ac:dyDescent="0.45">
      <c r="B14" s="232"/>
      <c r="C14" s="195"/>
      <c r="D14" s="196"/>
      <c r="E14" s="237"/>
      <c r="F14" s="182" t="s">
        <v>33</v>
      </c>
      <c r="G14" s="166"/>
      <c r="H14" s="166"/>
      <c r="I14" s="167"/>
      <c r="J14" s="23"/>
      <c r="K14" s="114">
        <f>年報!AO14</f>
        <v>0</v>
      </c>
      <c r="L14" s="115">
        <f>年報!AP14</f>
        <v>0</v>
      </c>
      <c r="M14" s="116">
        <f>年報!AQ14</f>
        <v>0</v>
      </c>
      <c r="N14" s="116">
        <f>年報!AR14</f>
        <v>0</v>
      </c>
      <c r="O14" s="105">
        <f>年報!AS14</f>
        <v>0</v>
      </c>
      <c r="P14" s="114">
        <f>年報!AT14</f>
        <v>0</v>
      </c>
      <c r="Q14" s="115">
        <f>年報!AU14</f>
        <v>0</v>
      </c>
      <c r="R14" s="116">
        <f>年報!AV14</f>
        <v>0</v>
      </c>
      <c r="S14" s="116">
        <f>年報!AW14</f>
        <v>0</v>
      </c>
      <c r="T14" s="105">
        <f>年報!AX14</f>
        <v>0</v>
      </c>
      <c r="U14" s="114">
        <f>年報!AY14</f>
        <v>0</v>
      </c>
      <c r="V14" s="115">
        <f>年報!AZ14</f>
        <v>0</v>
      </c>
      <c r="W14" s="116">
        <f>年報!BA14</f>
        <v>0</v>
      </c>
      <c r="X14" s="116">
        <f>年報!BB14</f>
        <v>0</v>
      </c>
      <c r="Y14" s="105">
        <f>年報!BC14</f>
        <v>0</v>
      </c>
      <c r="Z14" s="114">
        <f>年報!BD14</f>
        <v>0</v>
      </c>
      <c r="AA14" s="115">
        <f>年報!BE14</f>
        <v>0</v>
      </c>
      <c r="AB14" s="116">
        <f>年報!BF14</f>
        <v>0</v>
      </c>
      <c r="AC14" s="116">
        <f>年報!BG14</f>
        <v>0</v>
      </c>
      <c r="AD14" s="105">
        <f>年報!BH14</f>
        <v>0</v>
      </c>
      <c r="AE14" s="114">
        <f>年報!BI14</f>
        <v>0</v>
      </c>
      <c r="AF14" s="115">
        <f>年報!BJ14</f>
        <v>0</v>
      </c>
      <c r="AG14" s="116">
        <f>年報!BK14</f>
        <v>0</v>
      </c>
      <c r="AH14" s="116">
        <f>年報!BL14</f>
        <v>0</v>
      </c>
      <c r="AI14" s="105">
        <f>年報!BM14</f>
        <v>0</v>
      </c>
      <c r="AJ14" s="114">
        <f>年報!BN14</f>
        <v>0</v>
      </c>
      <c r="AK14" s="115">
        <f>年報!BO14</f>
        <v>0</v>
      </c>
      <c r="AL14" s="116">
        <f>年報!BP14</f>
        <v>0</v>
      </c>
      <c r="AM14" s="116">
        <f>年報!BQ14</f>
        <v>0</v>
      </c>
      <c r="AN14" s="105">
        <f>年報!BR14</f>
        <v>0</v>
      </c>
      <c r="AO14" s="114">
        <f>月報!R15</f>
        <v>0</v>
      </c>
      <c r="AP14" s="115">
        <f>月報!S15</f>
        <v>0</v>
      </c>
      <c r="AQ14" s="116">
        <f>月報!T15</f>
        <v>0</v>
      </c>
      <c r="AR14" s="116">
        <f>月報!U15</f>
        <v>0</v>
      </c>
      <c r="AS14" s="105">
        <f>月報!V15</f>
        <v>0</v>
      </c>
    </row>
    <row r="15" spans="2:45" x14ac:dyDescent="0.45">
      <c r="B15" s="232"/>
      <c r="C15" s="195"/>
      <c r="D15" s="196"/>
      <c r="E15" s="237"/>
      <c r="F15" s="183"/>
      <c r="G15" s="184"/>
      <c r="H15" s="184"/>
      <c r="I15" s="185"/>
      <c r="J15" s="25"/>
      <c r="K15" s="114"/>
      <c r="L15" s="115"/>
      <c r="M15" s="116"/>
      <c r="N15" s="116"/>
      <c r="O15" s="105"/>
      <c r="P15" s="114"/>
      <c r="Q15" s="115"/>
      <c r="R15" s="116"/>
      <c r="S15" s="116"/>
      <c r="T15" s="105"/>
      <c r="U15" s="114"/>
      <c r="V15" s="115"/>
      <c r="W15" s="116"/>
      <c r="X15" s="116"/>
      <c r="Y15" s="105"/>
      <c r="Z15" s="114"/>
      <c r="AA15" s="115"/>
      <c r="AB15" s="116"/>
      <c r="AC15" s="116"/>
      <c r="AD15" s="105"/>
      <c r="AE15" s="114"/>
      <c r="AF15" s="115"/>
      <c r="AG15" s="116"/>
      <c r="AH15" s="116"/>
      <c r="AI15" s="105"/>
      <c r="AJ15" s="114"/>
      <c r="AK15" s="115"/>
      <c r="AL15" s="116"/>
      <c r="AM15" s="116"/>
      <c r="AN15" s="105"/>
      <c r="AO15" s="114"/>
      <c r="AP15" s="115"/>
      <c r="AQ15" s="116"/>
      <c r="AR15" s="116"/>
      <c r="AS15" s="105"/>
    </row>
    <row r="16" spans="2:45" x14ac:dyDescent="0.45">
      <c r="B16" s="232"/>
      <c r="C16" s="28"/>
      <c r="D16" s="3"/>
      <c r="E16" s="3"/>
      <c r="F16" s="200" t="s">
        <v>34</v>
      </c>
      <c r="G16" s="200"/>
      <c r="H16" s="200"/>
      <c r="I16" s="200"/>
      <c r="J16" s="29"/>
      <c r="K16" s="114">
        <f>年報!AO16</f>
        <v>0</v>
      </c>
      <c r="L16" s="115">
        <f>年報!AP16</f>
        <v>0</v>
      </c>
      <c r="M16" s="116">
        <f>年報!AQ16</f>
        <v>0</v>
      </c>
      <c r="N16" s="116">
        <f>年報!AR16</f>
        <v>0</v>
      </c>
      <c r="O16" s="105">
        <f>年報!AS16</f>
        <v>0</v>
      </c>
      <c r="P16" s="114">
        <f>年報!AT16</f>
        <v>0</v>
      </c>
      <c r="Q16" s="115">
        <f>年報!AU16</f>
        <v>0</v>
      </c>
      <c r="R16" s="116">
        <f>年報!AV16</f>
        <v>0</v>
      </c>
      <c r="S16" s="116">
        <f>年報!AW16</f>
        <v>0</v>
      </c>
      <c r="T16" s="105">
        <f>年報!AX16</f>
        <v>0</v>
      </c>
      <c r="U16" s="114">
        <f>年報!AY16</f>
        <v>0</v>
      </c>
      <c r="V16" s="115">
        <f>年報!AZ16</f>
        <v>0</v>
      </c>
      <c r="W16" s="116">
        <f>年報!BA16</f>
        <v>0</v>
      </c>
      <c r="X16" s="116">
        <f>年報!BB16</f>
        <v>0</v>
      </c>
      <c r="Y16" s="105">
        <f>年報!BC16</f>
        <v>0</v>
      </c>
      <c r="Z16" s="114">
        <f>年報!BD16</f>
        <v>0</v>
      </c>
      <c r="AA16" s="115">
        <f>年報!BE16</f>
        <v>0</v>
      </c>
      <c r="AB16" s="116">
        <f>年報!BF16</f>
        <v>0</v>
      </c>
      <c r="AC16" s="116">
        <f>年報!BG16</f>
        <v>0</v>
      </c>
      <c r="AD16" s="105">
        <f>年報!BH16</f>
        <v>0</v>
      </c>
      <c r="AE16" s="114">
        <f>年報!BI16</f>
        <v>0</v>
      </c>
      <c r="AF16" s="115">
        <f>年報!BJ16</f>
        <v>0</v>
      </c>
      <c r="AG16" s="116">
        <f>年報!BK16</f>
        <v>0</v>
      </c>
      <c r="AH16" s="116">
        <f>年報!BL16</f>
        <v>0</v>
      </c>
      <c r="AI16" s="105">
        <f>年報!BM16</f>
        <v>0</v>
      </c>
      <c r="AJ16" s="114">
        <f>年報!BN16</f>
        <v>0</v>
      </c>
      <c r="AK16" s="115">
        <f>年報!BO16</f>
        <v>0</v>
      </c>
      <c r="AL16" s="116">
        <f>年報!BP16</f>
        <v>0</v>
      </c>
      <c r="AM16" s="116">
        <f>年報!BQ16</f>
        <v>0</v>
      </c>
      <c r="AN16" s="105">
        <f>年報!BR16</f>
        <v>0</v>
      </c>
      <c r="AO16" s="114">
        <f>月報!R17</f>
        <v>0</v>
      </c>
      <c r="AP16" s="115">
        <f>月報!S17</f>
        <v>0</v>
      </c>
      <c r="AQ16" s="116">
        <f>月報!T17</f>
        <v>0</v>
      </c>
      <c r="AR16" s="116">
        <f>月報!U17</f>
        <v>0</v>
      </c>
      <c r="AS16" s="105">
        <f>月報!V17</f>
        <v>0</v>
      </c>
    </row>
    <row r="17" spans="2:45" x14ac:dyDescent="0.45">
      <c r="B17" s="232"/>
      <c r="C17" s="30"/>
      <c r="D17" s="31"/>
      <c r="E17" s="31"/>
      <c r="F17" s="201"/>
      <c r="G17" s="201"/>
      <c r="H17" s="201"/>
      <c r="I17" s="226"/>
      <c r="J17" s="32"/>
      <c r="K17" s="114"/>
      <c r="L17" s="115"/>
      <c r="M17" s="116"/>
      <c r="N17" s="116"/>
      <c r="O17" s="105"/>
      <c r="P17" s="114"/>
      <c r="Q17" s="115"/>
      <c r="R17" s="116"/>
      <c r="S17" s="116"/>
      <c r="T17" s="105"/>
      <c r="U17" s="114"/>
      <c r="V17" s="115"/>
      <c r="W17" s="116"/>
      <c r="X17" s="116"/>
      <c r="Y17" s="105"/>
      <c r="Z17" s="114"/>
      <c r="AA17" s="115"/>
      <c r="AB17" s="116"/>
      <c r="AC17" s="116"/>
      <c r="AD17" s="105"/>
      <c r="AE17" s="114"/>
      <c r="AF17" s="115"/>
      <c r="AG17" s="116"/>
      <c r="AH17" s="116"/>
      <c r="AI17" s="105"/>
      <c r="AJ17" s="114"/>
      <c r="AK17" s="115"/>
      <c r="AL17" s="116"/>
      <c r="AM17" s="116"/>
      <c r="AN17" s="105"/>
      <c r="AO17" s="114"/>
      <c r="AP17" s="115"/>
      <c r="AQ17" s="116"/>
      <c r="AR17" s="116"/>
      <c r="AS17" s="105"/>
    </row>
    <row r="18" spans="2:45" x14ac:dyDescent="0.45">
      <c r="B18" s="232"/>
      <c r="C18" s="203" t="s">
        <v>35</v>
      </c>
      <c r="D18" s="204"/>
      <c r="E18" s="204"/>
      <c r="F18" s="205"/>
      <c r="G18" s="205"/>
      <c r="H18" s="205"/>
      <c r="I18" s="205"/>
      <c r="J18" s="33"/>
      <c r="K18" s="114">
        <f>年報!AO18</f>
        <v>0</v>
      </c>
      <c r="L18" s="115">
        <f>年報!AP18</f>
        <v>0</v>
      </c>
      <c r="M18" s="116">
        <f>年報!AQ18</f>
        <v>0</v>
      </c>
      <c r="N18" s="116">
        <f>年報!AR18</f>
        <v>0</v>
      </c>
      <c r="O18" s="105">
        <f>年報!AS18</f>
        <v>0</v>
      </c>
      <c r="P18" s="114">
        <f>年報!AT18</f>
        <v>0</v>
      </c>
      <c r="Q18" s="115">
        <f>年報!AU18</f>
        <v>0</v>
      </c>
      <c r="R18" s="116">
        <f>年報!AV18</f>
        <v>0</v>
      </c>
      <c r="S18" s="116">
        <f>年報!AW18</f>
        <v>0</v>
      </c>
      <c r="T18" s="105">
        <f>年報!AX18</f>
        <v>0</v>
      </c>
      <c r="U18" s="114">
        <f>年報!AY18</f>
        <v>0</v>
      </c>
      <c r="V18" s="115">
        <f>年報!AZ18</f>
        <v>0</v>
      </c>
      <c r="W18" s="116">
        <f>年報!BA18</f>
        <v>0</v>
      </c>
      <c r="X18" s="116">
        <f>年報!BB18</f>
        <v>0</v>
      </c>
      <c r="Y18" s="105">
        <f>年報!BC18</f>
        <v>0</v>
      </c>
      <c r="Z18" s="114">
        <f>年報!BD18</f>
        <v>0</v>
      </c>
      <c r="AA18" s="115">
        <f>年報!BE18</f>
        <v>0</v>
      </c>
      <c r="AB18" s="116">
        <f>年報!BF18</f>
        <v>0</v>
      </c>
      <c r="AC18" s="116">
        <f>年報!BG18</f>
        <v>0</v>
      </c>
      <c r="AD18" s="105">
        <f>年報!BH18</f>
        <v>0</v>
      </c>
      <c r="AE18" s="114">
        <f>年報!BI18</f>
        <v>0</v>
      </c>
      <c r="AF18" s="115">
        <f>年報!BJ18</f>
        <v>0</v>
      </c>
      <c r="AG18" s="116">
        <f>年報!BK18</f>
        <v>0</v>
      </c>
      <c r="AH18" s="116">
        <f>年報!BL18</f>
        <v>0</v>
      </c>
      <c r="AI18" s="105">
        <f>年報!BM18</f>
        <v>0</v>
      </c>
      <c r="AJ18" s="114">
        <f>年報!BN18</f>
        <v>0</v>
      </c>
      <c r="AK18" s="115">
        <f>年報!BO18</f>
        <v>0</v>
      </c>
      <c r="AL18" s="116">
        <f>年報!BP18</f>
        <v>0</v>
      </c>
      <c r="AM18" s="116">
        <f>年報!BQ18</f>
        <v>0</v>
      </c>
      <c r="AN18" s="105">
        <f>年報!BR18</f>
        <v>0</v>
      </c>
      <c r="AO18" s="114">
        <f>月報!R19</f>
        <v>0</v>
      </c>
      <c r="AP18" s="115">
        <f>月報!S19</f>
        <v>0</v>
      </c>
      <c r="AQ18" s="116">
        <f>月報!T19</f>
        <v>0</v>
      </c>
      <c r="AR18" s="116">
        <f>月報!U19</f>
        <v>0</v>
      </c>
      <c r="AS18" s="105">
        <f>月報!V19</f>
        <v>0</v>
      </c>
    </row>
    <row r="19" spans="2:45" ht="15.6" thickBot="1" x14ac:dyDescent="0.5">
      <c r="B19" s="233"/>
      <c r="C19" s="97"/>
      <c r="D19" s="98"/>
      <c r="E19" s="98"/>
      <c r="F19" s="98"/>
      <c r="G19" s="98"/>
      <c r="H19" s="98"/>
      <c r="I19" s="98"/>
      <c r="J19" s="34"/>
      <c r="K19" s="100"/>
      <c r="L19" s="102"/>
      <c r="M19" s="104"/>
      <c r="N19" s="104"/>
      <c r="O19" s="117"/>
      <c r="P19" s="100"/>
      <c r="Q19" s="102"/>
      <c r="R19" s="104"/>
      <c r="S19" s="104"/>
      <c r="T19" s="117"/>
      <c r="U19" s="100"/>
      <c r="V19" s="102"/>
      <c r="W19" s="104"/>
      <c r="X19" s="104"/>
      <c r="Y19" s="117"/>
      <c r="Z19" s="100"/>
      <c r="AA19" s="102"/>
      <c r="AB19" s="104"/>
      <c r="AC19" s="104"/>
      <c r="AD19" s="117"/>
      <c r="AE19" s="100"/>
      <c r="AF19" s="102"/>
      <c r="AG19" s="104"/>
      <c r="AH19" s="104"/>
      <c r="AI19" s="117"/>
      <c r="AJ19" s="100"/>
      <c r="AK19" s="102"/>
      <c r="AL19" s="104"/>
      <c r="AM19" s="104"/>
      <c r="AN19" s="117"/>
      <c r="AO19" s="100"/>
      <c r="AP19" s="102"/>
      <c r="AQ19" s="104"/>
      <c r="AR19" s="104"/>
      <c r="AS19" s="117"/>
    </row>
    <row r="20" spans="2:45" x14ac:dyDescent="0.45">
      <c r="B20" s="208" t="s">
        <v>36</v>
      </c>
      <c r="C20" s="210" t="s">
        <v>37</v>
      </c>
      <c r="D20" s="211"/>
      <c r="E20" s="212"/>
      <c r="F20" s="216" t="s">
        <v>38</v>
      </c>
      <c r="G20" s="217"/>
      <c r="H20" s="217"/>
      <c r="I20" s="218"/>
      <c r="J20" s="35"/>
      <c r="K20" s="159">
        <f>年報!AO20</f>
        <v>0</v>
      </c>
      <c r="L20" s="160">
        <f>年報!AP20</f>
        <v>0</v>
      </c>
      <c r="M20" s="161">
        <f>年報!AQ20</f>
        <v>0</v>
      </c>
      <c r="N20" s="161">
        <f>年報!AR20</f>
        <v>0</v>
      </c>
      <c r="O20" s="148">
        <f>年報!AS20</f>
        <v>0</v>
      </c>
      <c r="P20" s="159">
        <f>年報!AT20</f>
        <v>0</v>
      </c>
      <c r="Q20" s="160">
        <f>年報!AU20</f>
        <v>0</v>
      </c>
      <c r="R20" s="161">
        <f>年報!AV20</f>
        <v>0</v>
      </c>
      <c r="S20" s="161">
        <f>年報!AW20</f>
        <v>0</v>
      </c>
      <c r="T20" s="148">
        <f>年報!AX20</f>
        <v>0</v>
      </c>
      <c r="U20" s="159">
        <f>年報!AY20</f>
        <v>0</v>
      </c>
      <c r="V20" s="160">
        <f>年報!AZ20</f>
        <v>0</v>
      </c>
      <c r="W20" s="161">
        <f>年報!BA20</f>
        <v>0</v>
      </c>
      <c r="X20" s="161">
        <f>年報!BB20</f>
        <v>0</v>
      </c>
      <c r="Y20" s="148">
        <f>年報!BC20</f>
        <v>0</v>
      </c>
      <c r="Z20" s="159">
        <f>年報!BD20</f>
        <v>0</v>
      </c>
      <c r="AA20" s="160">
        <f>年報!BE20</f>
        <v>0</v>
      </c>
      <c r="AB20" s="161">
        <f>年報!BF20</f>
        <v>0</v>
      </c>
      <c r="AC20" s="161">
        <f>年報!BG20</f>
        <v>0</v>
      </c>
      <c r="AD20" s="148">
        <f>年報!BH20</f>
        <v>0</v>
      </c>
      <c r="AE20" s="159">
        <f>年報!BI20</f>
        <v>0</v>
      </c>
      <c r="AF20" s="160">
        <f>年報!BJ20</f>
        <v>0</v>
      </c>
      <c r="AG20" s="161">
        <f>年報!BK20</f>
        <v>0</v>
      </c>
      <c r="AH20" s="161">
        <f>年報!BL20</f>
        <v>0</v>
      </c>
      <c r="AI20" s="148">
        <f>年報!BM20</f>
        <v>0</v>
      </c>
      <c r="AJ20" s="159">
        <f>年報!BN20</f>
        <v>0</v>
      </c>
      <c r="AK20" s="160">
        <f>年報!BO20</f>
        <v>0</v>
      </c>
      <c r="AL20" s="161">
        <f>年報!BP20</f>
        <v>0</v>
      </c>
      <c r="AM20" s="161">
        <f>年報!BQ20</f>
        <v>0</v>
      </c>
      <c r="AN20" s="148">
        <f>年報!BR20</f>
        <v>0</v>
      </c>
      <c r="AO20" s="159">
        <f>月報!R21</f>
        <v>0</v>
      </c>
      <c r="AP20" s="160">
        <f>月報!S21</f>
        <v>0</v>
      </c>
      <c r="AQ20" s="161">
        <f>月報!T21</f>
        <v>0</v>
      </c>
      <c r="AR20" s="161">
        <f>月報!U21</f>
        <v>0</v>
      </c>
      <c r="AS20" s="148">
        <f>月報!V21</f>
        <v>0</v>
      </c>
    </row>
    <row r="21" spans="2:45" x14ac:dyDescent="0.45">
      <c r="B21" s="176"/>
      <c r="C21" s="213"/>
      <c r="D21" s="214"/>
      <c r="E21" s="215"/>
      <c r="F21" s="206"/>
      <c r="G21" s="207"/>
      <c r="H21" s="207"/>
      <c r="I21" s="207"/>
      <c r="J21" s="36"/>
      <c r="K21" s="114"/>
      <c r="L21" s="115"/>
      <c r="M21" s="116"/>
      <c r="N21" s="116"/>
      <c r="O21" s="105"/>
      <c r="P21" s="114"/>
      <c r="Q21" s="115"/>
      <c r="R21" s="116"/>
      <c r="S21" s="116"/>
      <c r="T21" s="105"/>
      <c r="U21" s="114"/>
      <c r="V21" s="115"/>
      <c r="W21" s="116"/>
      <c r="X21" s="116"/>
      <c r="Y21" s="105"/>
      <c r="Z21" s="114"/>
      <c r="AA21" s="115"/>
      <c r="AB21" s="116"/>
      <c r="AC21" s="116"/>
      <c r="AD21" s="105"/>
      <c r="AE21" s="114"/>
      <c r="AF21" s="115"/>
      <c r="AG21" s="116"/>
      <c r="AH21" s="116"/>
      <c r="AI21" s="105"/>
      <c r="AJ21" s="114"/>
      <c r="AK21" s="115"/>
      <c r="AL21" s="116"/>
      <c r="AM21" s="116"/>
      <c r="AN21" s="105"/>
      <c r="AO21" s="114"/>
      <c r="AP21" s="115"/>
      <c r="AQ21" s="116"/>
      <c r="AR21" s="116"/>
      <c r="AS21" s="105"/>
    </row>
    <row r="22" spans="2:45" x14ac:dyDescent="0.45">
      <c r="B22" s="176"/>
      <c r="C22" s="213"/>
      <c r="D22" s="214"/>
      <c r="E22" s="215"/>
      <c r="F22" s="203" t="s">
        <v>39</v>
      </c>
      <c r="G22" s="204"/>
      <c r="H22" s="204"/>
      <c r="I22" s="205"/>
      <c r="J22" s="35"/>
      <c r="K22" s="114">
        <f>年報!AO22</f>
        <v>0</v>
      </c>
      <c r="L22" s="115">
        <f>年報!AP22</f>
        <v>0</v>
      </c>
      <c r="M22" s="116">
        <f>年報!AQ22</f>
        <v>0</v>
      </c>
      <c r="N22" s="116">
        <f>年報!AR22</f>
        <v>0</v>
      </c>
      <c r="O22" s="105">
        <f>年報!AS22</f>
        <v>0</v>
      </c>
      <c r="P22" s="114">
        <f>年報!AT22</f>
        <v>0</v>
      </c>
      <c r="Q22" s="115">
        <f>年報!AU22</f>
        <v>0</v>
      </c>
      <c r="R22" s="116">
        <f>年報!AV22</f>
        <v>0</v>
      </c>
      <c r="S22" s="116">
        <f>年報!AW22</f>
        <v>0</v>
      </c>
      <c r="T22" s="105">
        <f>年報!AX22</f>
        <v>0</v>
      </c>
      <c r="U22" s="114">
        <f>年報!AY22</f>
        <v>0</v>
      </c>
      <c r="V22" s="115">
        <f>年報!AZ22</f>
        <v>0</v>
      </c>
      <c r="W22" s="116">
        <f>年報!BA22</f>
        <v>0</v>
      </c>
      <c r="X22" s="116">
        <f>年報!BB22</f>
        <v>0</v>
      </c>
      <c r="Y22" s="105">
        <f>年報!BC22</f>
        <v>0</v>
      </c>
      <c r="Z22" s="114">
        <f>年報!BD22</f>
        <v>0</v>
      </c>
      <c r="AA22" s="115">
        <f>年報!BE22</f>
        <v>0</v>
      </c>
      <c r="AB22" s="116">
        <f>年報!BF22</f>
        <v>0</v>
      </c>
      <c r="AC22" s="116">
        <f>年報!BG22</f>
        <v>0</v>
      </c>
      <c r="AD22" s="105">
        <f>年報!BH22</f>
        <v>0</v>
      </c>
      <c r="AE22" s="114">
        <f>年報!BI22</f>
        <v>0</v>
      </c>
      <c r="AF22" s="115">
        <f>年報!BJ22</f>
        <v>0</v>
      </c>
      <c r="AG22" s="116">
        <f>年報!BK22</f>
        <v>0</v>
      </c>
      <c r="AH22" s="116">
        <f>年報!BL22</f>
        <v>0</v>
      </c>
      <c r="AI22" s="105">
        <f>年報!BM22</f>
        <v>0</v>
      </c>
      <c r="AJ22" s="114">
        <f>年報!BN22</f>
        <v>0</v>
      </c>
      <c r="AK22" s="115">
        <f>年報!BO22</f>
        <v>0</v>
      </c>
      <c r="AL22" s="116">
        <f>年報!BP22</f>
        <v>0</v>
      </c>
      <c r="AM22" s="116">
        <f>年報!BQ22</f>
        <v>0</v>
      </c>
      <c r="AN22" s="105">
        <f>年報!BR22</f>
        <v>0</v>
      </c>
      <c r="AO22" s="114">
        <f>月報!R23</f>
        <v>0</v>
      </c>
      <c r="AP22" s="115">
        <f>月報!S23</f>
        <v>0</v>
      </c>
      <c r="AQ22" s="116">
        <f>月報!T23</f>
        <v>0</v>
      </c>
      <c r="AR22" s="116">
        <f>月報!U23</f>
        <v>0</v>
      </c>
      <c r="AS22" s="105">
        <f>月報!V23</f>
        <v>0</v>
      </c>
    </row>
    <row r="23" spans="2:45" x14ac:dyDescent="0.45">
      <c r="B23" s="176"/>
      <c r="C23" s="213"/>
      <c r="D23" s="214"/>
      <c r="E23" s="215"/>
      <c r="F23" s="206"/>
      <c r="G23" s="207"/>
      <c r="H23" s="207"/>
      <c r="I23" s="207"/>
      <c r="J23" s="36"/>
      <c r="K23" s="114"/>
      <c r="L23" s="115"/>
      <c r="M23" s="116"/>
      <c r="N23" s="116"/>
      <c r="O23" s="105"/>
      <c r="P23" s="114"/>
      <c r="Q23" s="115"/>
      <c r="R23" s="116"/>
      <c r="S23" s="116"/>
      <c r="T23" s="105"/>
      <c r="U23" s="114"/>
      <c r="V23" s="115"/>
      <c r="W23" s="116"/>
      <c r="X23" s="116"/>
      <c r="Y23" s="105"/>
      <c r="Z23" s="114"/>
      <c r="AA23" s="115"/>
      <c r="AB23" s="116"/>
      <c r="AC23" s="116"/>
      <c r="AD23" s="105"/>
      <c r="AE23" s="114"/>
      <c r="AF23" s="115"/>
      <c r="AG23" s="116"/>
      <c r="AH23" s="116"/>
      <c r="AI23" s="105"/>
      <c r="AJ23" s="114"/>
      <c r="AK23" s="115"/>
      <c r="AL23" s="116"/>
      <c r="AM23" s="116"/>
      <c r="AN23" s="105"/>
      <c r="AO23" s="114"/>
      <c r="AP23" s="115"/>
      <c r="AQ23" s="116"/>
      <c r="AR23" s="116"/>
      <c r="AS23" s="105"/>
    </row>
    <row r="24" spans="2:45" x14ac:dyDescent="0.45">
      <c r="B24" s="176"/>
      <c r="C24" s="37"/>
      <c r="D24" s="38"/>
      <c r="E24" s="38"/>
      <c r="F24" s="200" t="s">
        <v>34</v>
      </c>
      <c r="G24" s="200"/>
      <c r="H24" s="200"/>
      <c r="I24" s="200"/>
      <c r="J24" s="140" t="s">
        <v>40</v>
      </c>
      <c r="K24" s="114">
        <f>年報!AO24</f>
        <v>0</v>
      </c>
      <c r="L24" s="115">
        <f>年報!AP24</f>
        <v>0</v>
      </c>
      <c r="M24" s="116">
        <f>年報!AQ24</f>
        <v>0</v>
      </c>
      <c r="N24" s="116">
        <f>年報!AR24</f>
        <v>0</v>
      </c>
      <c r="O24" s="105">
        <f>年報!AS24</f>
        <v>0</v>
      </c>
      <c r="P24" s="114">
        <f>年報!AT24</f>
        <v>0</v>
      </c>
      <c r="Q24" s="115">
        <f>年報!AU24</f>
        <v>0</v>
      </c>
      <c r="R24" s="116">
        <f>年報!AV24</f>
        <v>0</v>
      </c>
      <c r="S24" s="116">
        <f>年報!AW24</f>
        <v>0</v>
      </c>
      <c r="T24" s="105">
        <f>年報!AX24</f>
        <v>0</v>
      </c>
      <c r="U24" s="114">
        <f>年報!AY24</f>
        <v>0</v>
      </c>
      <c r="V24" s="115">
        <f>年報!AZ24</f>
        <v>0</v>
      </c>
      <c r="W24" s="116">
        <f>年報!BA24</f>
        <v>0</v>
      </c>
      <c r="X24" s="116">
        <f>年報!BB24</f>
        <v>0</v>
      </c>
      <c r="Y24" s="105">
        <f>年報!BC24</f>
        <v>0</v>
      </c>
      <c r="Z24" s="114">
        <f>年報!BD24</f>
        <v>0</v>
      </c>
      <c r="AA24" s="115">
        <f>年報!BE24</f>
        <v>0</v>
      </c>
      <c r="AB24" s="116">
        <f>年報!BF24</f>
        <v>0</v>
      </c>
      <c r="AC24" s="116">
        <f>年報!BG24</f>
        <v>0</v>
      </c>
      <c r="AD24" s="105">
        <f>年報!BH24</f>
        <v>0</v>
      </c>
      <c r="AE24" s="114">
        <f>年報!BI24</f>
        <v>0</v>
      </c>
      <c r="AF24" s="115">
        <f>年報!BJ24</f>
        <v>0</v>
      </c>
      <c r="AG24" s="116">
        <f>年報!BK24</f>
        <v>0</v>
      </c>
      <c r="AH24" s="116">
        <f>年報!BL24</f>
        <v>0</v>
      </c>
      <c r="AI24" s="105">
        <f>年報!BM24</f>
        <v>0</v>
      </c>
      <c r="AJ24" s="114">
        <f>年報!BN24</f>
        <v>0</v>
      </c>
      <c r="AK24" s="115">
        <f>年報!BO24</f>
        <v>0</v>
      </c>
      <c r="AL24" s="116">
        <f>年報!BP24</f>
        <v>0</v>
      </c>
      <c r="AM24" s="116">
        <f>年報!BQ24</f>
        <v>0</v>
      </c>
      <c r="AN24" s="105">
        <f>年報!BR24</f>
        <v>0</v>
      </c>
      <c r="AO24" s="114">
        <f>月報!R25</f>
        <v>0</v>
      </c>
      <c r="AP24" s="115">
        <f>月報!S25</f>
        <v>0</v>
      </c>
      <c r="AQ24" s="116">
        <f>月報!T25</f>
        <v>0</v>
      </c>
      <c r="AR24" s="116">
        <f>月報!U25</f>
        <v>0</v>
      </c>
      <c r="AS24" s="105">
        <f>月報!V25</f>
        <v>0</v>
      </c>
    </row>
    <row r="25" spans="2:45" x14ac:dyDescent="0.45">
      <c r="B25" s="176"/>
      <c r="C25" s="39"/>
      <c r="D25" s="40"/>
      <c r="E25" s="40"/>
      <c r="F25" s="201"/>
      <c r="G25" s="201"/>
      <c r="H25" s="201"/>
      <c r="I25" s="201"/>
      <c r="J25" s="141"/>
      <c r="K25" s="114"/>
      <c r="L25" s="115"/>
      <c r="M25" s="116"/>
      <c r="N25" s="116"/>
      <c r="O25" s="105"/>
      <c r="P25" s="114"/>
      <c r="Q25" s="115"/>
      <c r="R25" s="116"/>
      <c r="S25" s="116"/>
      <c r="T25" s="105"/>
      <c r="U25" s="114"/>
      <c r="V25" s="115"/>
      <c r="W25" s="116"/>
      <c r="X25" s="116"/>
      <c r="Y25" s="105"/>
      <c r="Z25" s="114"/>
      <c r="AA25" s="115"/>
      <c r="AB25" s="116"/>
      <c r="AC25" s="116"/>
      <c r="AD25" s="105"/>
      <c r="AE25" s="114"/>
      <c r="AF25" s="115"/>
      <c r="AG25" s="116"/>
      <c r="AH25" s="116"/>
      <c r="AI25" s="105"/>
      <c r="AJ25" s="114"/>
      <c r="AK25" s="115"/>
      <c r="AL25" s="116"/>
      <c r="AM25" s="116"/>
      <c r="AN25" s="105"/>
      <c r="AO25" s="114"/>
      <c r="AP25" s="115"/>
      <c r="AQ25" s="116"/>
      <c r="AR25" s="116"/>
      <c r="AS25" s="105"/>
    </row>
    <row r="26" spans="2:45" x14ac:dyDescent="0.45">
      <c r="B26" s="176"/>
      <c r="C26" s="182" t="s">
        <v>41</v>
      </c>
      <c r="D26" s="166"/>
      <c r="E26" s="219"/>
      <c r="F26" s="203" t="s">
        <v>42</v>
      </c>
      <c r="G26" s="204"/>
      <c r="H26" s="204"/>
      <c r="I26" s="205"/>
      <c r="J26" s="35"/>
      <c r="K26" s="114">
        <f>年報!AO26</f>
        <v>0</v>
      </c>
      <c r="L26" s="115">
        <f>年報!AP26</f>
        <v>0</v>
      </c>
      <c r="M26" s="116">
        <f>年報!AQ26</f>
        <v>0</v>
      </c>
      <c r="N26" s="116">
        <f>年報!AR26</f>
        <v>0</v>
      </c>
      <c r="O26" s="105">
        <f>年報!AS26</f>
        <v>0</v>
      </c>
      <c r="P26" s="114">
        <f>年報!AT26</f>
        <v>0</v>
      </c>
      <c r="Q26" s="115">
        <f>年報!AU26</f>
        <v>0</v>
      </c>
      <c r="R26" s="116">
        <f>年報!AV26</f>
        <v>0</v>
      </c>
      <c r="S26" s="116">
        <f>年報!AW26</f>
        <v>0</v>
      </c>
      <c r="T26" s="105">
        <f>年報!AX26</f>
        <v>0</v>
      </c>
      <c r="U26" s="114">
        <f>年報!AY26</f>
        <v>0</v>
      </c>
      <c r="V26" s="115">
        <f>年報!AZ26</f>
        <v>0</v>
      </c>
      <c r="W26" s="116">
        <f>年報!BA26</f>
        <v>0</v>
      </c>
      <c r="X26" s="116">
        <f>年報!BB26</f>
        <v>0</v>
      </c>
      <c r="Y26" s="105">
        <f>年報!BC26</f>
        <v>0</v>
      </c>
      <c r="Z26" s="114">
        <f>年報!BD26</f>
        <v>0</v>
      </c>
      <c r="AA26" s="115">
        <f>年報!BE26</f>
        <v>0</v>
      </c>
      <c r="AB26" s="116">
        <f>年報!BF26</f>
        <v>0</v>
      </c>
      <c r="AC26" s="116">
        <f>年報!BG26</f>
        <v>0</v>
      </c>
      <c r="AD26" s="105">
        <f>年報!BH26</f>
        <v>0</v>
      </c>
      <c r="AE26" s="114">
        <f>年報!BI26</f>
        <v>0</v>
      </c>
      <c r="AF26" s="115">
        <f>年報!BJ26</f>
        <v>0</v>
      </c>
      <c r="AG26" s="116">
        <f>年報!BK26</f>
        <v>0</v>
      </c>
      <c r="AH26" s="116">
        <f>年報!BL26</f>
        <v>0</v>
      </c>
      <c r="AI26" s="105">
        <f>年報!BM26</f>
        <v>0</v>
      </c>
      <c r="AJ26" s="114">
        <f>年報!BN26</f>
        <v>0</v>
      </c>
      <c r="AK26" s="115">
        <f>年報!BO26</f>
        <v>0</v>
      </c>
      <c r="AL26" s="116">
        <f>年報!BP26</f>
        <v>0</v>
      </c>
      <c r="AM26" s="116">
        <f>年報!BQ26</f>
        <v>0</v>
      </c>
      <c r="AN26" s="105">
        <f>年報!BR26</f>
        <v>0</v>
      </c>
      <c r="AO26" s="114">
        <f>月報!R27</f>
        <v>0</v>
      </c>
      <c r="AP26" s="115">
        <f>月報!S27</f>
        <v>0</v>
      </c>
      <c r="AQ26" s="116">
        <f>月報!T27</f>
        <v>0</v>
      </c>
      <c r="AR26" s="116">
        <f>月報!U27</f>
        <v>0</v>
      </c>
      <c r="AS26" s="105">
        <f>月報!V27</f>
        <v>0</v>
      </c>
    </row>
    <row r="27" spans="2:45" x14ac:dyDescent="0.45">
      <c r="B27" s="176"/>
      <c r="C27" s="213"/>
      <c r="D27" s="214"/>
      <c r="E27" s="215"/>
      <c r="F27" s="206"/>
      <c r="G27" s="207"/>
      <c r="H27" s="207"/>
      <c r="I27" s="207"/>
      <c r="J27" s="36"/>
      <c r="K27" s="114"/>
      <c r="L27" s="115"/>
      <c r="M27" s="116"/>
      <c r="N27" s="116"/>
      <c r="O27" s="105"/>
      <c r="P27" s="114"/>
      <c r="Q27" s="115"/>
      <c r="R27" s="116"/>
      <c r="S27" s="116"/>
      <c r="T27" s="105"/>
      <c r="U27" s="114"/>
      <c r="V27" s="115"/>
      <c r="W27" s="116"/>
      <c r="X27" s="116"/>
      <c r="Y27" s="105"/>
      <c r="Z27" s="114"/>
      <c r="AA27" s="115"/>
      <c r="AB27" s="116"/>
      <c r="AC27" s="116"/>
      <c r="AD27" s="105"/>
      <c r="AE27" s="114"/>
      <c r="AF27" s="115"/>
      <c r="AG27" s="116"/>
      <c r="AH27" s="116"/>
      <c r="AI27" s="105"/>
      <c r="AJ27" s="114"/>
      <c r="AK27" s="115"/>
      <c r="AL27" s="116"/>
      <c r="AM27" s="116"/>
      <c r="AN27" s="105"/>
      <c r="AO27" s="114"/>
      <c r="AP27" s="115"/>
      <c r="AQ27" s="116"/>
      <c r="AR27" s="116"/>
      <c r="AS27" s="105"/>
    </row>
    <row r="28" spans="2:45" x14ac:dyDescent="0.45">
      <c r="B28" s="176"/>
      <c r="C28" s="213"/>
      <c r="D28" s="214"/>
      <c r="E28" s="215"/>
      <c r="F28" s="203" t="s">
        <v>43</v>
      </c>
      <c r="G28" s="204"/>
      <c r="H28" s="204"/>
      <c r="I28" s="205"/>
      <c r="J28" s="35"/>
      <c r="K28" s="114">
        <f>年報!AO28</f>
        <v>0</v>
      </c>
      <c r="L28" s="115">
        <f>年報!AP28</f>
        <v>0</v>
      </c>
      <c r="M28" s="116">
        <f>年報!AQ28</f>
        <v>0</v>
      </c>
      <c r="N28" s="116">
        <f>年報!AR28</f>
        <v>0</v>
      </c>
      <c r="O28" s="105">
        <f>年報!AS28</f>
        <v>0</v>
      </c>
      <c r="P28" s="114">
        <f>年報!AT28</f>
        <v>0</v>
      </c>
      <c r="Q28" s="115">
        <f>年報!AU28</f>
        <v>0</v>
      </c>
      <c r="R28" s="116">
        <f>年報!AV28</f>
        <v>0</v>
      </c>
      <c r="S28" s="116">
        <f>年報!AW28</f>
        <v>0</v>
      </c>
      <c r="T28" s="105">
        <f>年報!AX28</f>
        <v>0</v>
      </c>
      <c r="U28" s="114">
        <f>年報!AY28</f>
        <v>0</v>
      </c>
      <c r="V28" s="115">
        <f>年報!AZ28</f>
        <v>0</v>
      </c>
      <c r="W28" s="116">
        <f>年報!BA28</f>
        <v>0</v>
      </c>
      <c r="X28" s="116">
        <f>年報!BB28</f>
        <v>0</v>
      </c>
      <c r="Y28" s="105">
        <f>年報!BC28</f>
        <v>0</v>
      </c>
      <c r="Z28" s="114">
        <f>年報!BD28</f>
        <v>0</v>
      </c>
      <c r="AA28" s="115">
        <f>年報!BE28</f>
        <v>0</v>
      </c>
      <c r="AB28" s="116">
        <f>年報!BF28</f>
        <v>0</v>
      </c>
      <c r="AC28" s="116">
        <f>年報!BG28</f>
        <v>0</v>
      </c>
      <c r="AD28" s="105">
        <f>年報!BH28</f>
        <v>0</v>
      </c>
      <c r="AE28" s="114">
        <f>年報!BI28</f>
        <v>0</v>
      </c>
      <c r="AF28" s="115">
        <f>年報!BJ28</f>
        <v>0</v>
      </c>
      <c r="AG28" s="116">
        <f>年報!BK28</f>
        <v>0</v>
      </c>
      <c r="AH28" s="116">
        <f>年報!BL28</f>
        <v>0</v>
      </c>
      <c r="AI28" s="105">
        <f>年報!BM28</f>
        <v>0</v>
      </c>
      <c r="AJ28" s="114">
        <f>年報!BN28</f>
        <v>0</v>
      </c>
      <c r="AK28" s="115">
        <f>年報!BO28</f>
        <v>0</v>
      </c>
      <c r="AL28" s="116">
        <f>年報!BP28</f>
        <v>0</v>
      </c>
      <c r="AM28" s="116">
        <f>年報!BQ28</f>
        <v>0</v>
      </c>
      <c r="AN28" s="105">
        <f>年報!BR28</f>
        <v>0</v>
      </c>
      <c r="AO28" s="114">
        <f>月報!R29</f>
        <v>0</v>
      </c>
      <c r="AP28" s="115">
        <f>月報!S29</f>
        <v>0</v>
      </c>
      <c r="AQ28" s="116">
        <f>月報!T29</f>
        <v>0</v>
      </c>
      <c r="AR28" s="116">
        <f>月報!U29</f>
        <v>0</v>
      </c>
      <c r="AS28" s="105">
        <f>月報!V29</f>
        <v>0</v>
      </c>
    </row>
    <row r="29" spans="2:45" x14ac:dyDescent="0.45">
      <c r="B29" s="176"/>
      <c r="C29" s="213"/>
      <c r="D29" s="214"/>
      <c r="E29" s="215"/>
      <c r="F29" s="206"/>
      <c r="G29" s="207"/>
      <c r="H29" s="207"/>
      <c r="I29" s="207"/>
      <c r="J29" s="36"/>
      <c r="K29" s="114"/>
      <c r="L29" s="115"/>
      <c r="M29" s="116"/>
      <c r="N29" s="116"/>
      <c r="O29" s="105"/>
      <c r="P29" s="114"/>
      <c r="Q29" s="115"/>
      <c r="R29" s="116"/>
      <c r="S29" s="116"/>
      <c r="T29" s="105"/>
      <c r="U29" s="114"/>
      <c r="V29" s="115"/>
      <c r="W29" s="116"/>
      <c r="X29" s="116"/>
      <c r="Y29" s="105"/>
      <c r="Z29" s="114"/>
      <c r="AA29" s="115"/>
      <c r="AB29" s="116"/>
      <c r="AC29" s="116"/>
      <c r="AD29" s="105"/>
      <c r="AE29" s="114"/>
      <c r="AF29" s="115"/>
      <c r="AG29" s="116"/>
      <c r="AH29" s="116"/>
      <c r="AI29" s="105"/>
      <c r="AJ29" s="114"/>
      <c r="AK29" s="115"/>
      <c r="AL29" s="116"/>
      <c r="AM29" s="116"/>
      <c r="AN29" s="105"/>
      <c r="AO29" s="114"/>
      <c r="AP29" s="115"/>
      <c r="AQ29" s="116"/>
      <c r="AR29" s="116"/>
      <c r="AS29" s="105"/>
    </row>
    <row r="30" spans="2:45" x14ac:dyDescent="0.45">
      <c r="B30" s="176"/>
      <c r="C30" s="37"/>
      <c r="D30" s="38"/>
      <c r="E30" s="38"/>
      <c r="F30" s="200" t="s">
        <v>34</v>
      </c>
      <c r="G30" s="200"/>
      <c r="H30" s="200"/>
      <c r="I30" s="200"/>
      <c r="J30" s="140" t="s">
        <v>44</v>
      </c>
      <c r="K30" s="114">
        <f>年報!AO30</f>
        <v>0</v>
      </c>
      <c r="L30" s="115">
        <f>年報!AP30</f>
        <v>0</v>
      </c>
      <c r="M30" s="116">
        <f>年報!AQ30</f>
        <v>0</v>
      </c>
      <c r="N30" s="116">
        <f>年報!AR30</f>
        <v>0</v>
      </c>
      <c r="O30" s="105">
        <f>年報!AS30</f>
        <v>0</v>
      </c>
      <c r="P30" s="114">
        <f>年報!AT30</f>
        <v>0</v>
      </c>
      <c r="Q30" s="115">
        <f>年報!AU30</f>
        <v>0</v>
      </c>
      <c r="R30" s="116">
        <f>年報!AV30</f>
        <v>0</v>
      </c>
      <c r="S30" s="116">
        <f>年報!AW30</f>
        <v>0</v>
      </c>
      <c r="T30" s="105">
        <f>年報!AX30</f>
        <v>0</v>
      </c>
      <c r="U30" s="114">
        <f>年報!AY30</f>
        <v>0</v>
      </c>
      <c r="V30" s="115">
        <f>年報!AZ30</f>
        <v>0</v>
      </c>
      <c r="W30" s="116">
        <f>年報!BA30</f>
        <v>0</v>
      </c>
      <c r="X30" s="116">
        <f>年報!BB30</f>
        <v>0</v>
      </c>
      <c r="Y30" s="105">
        <f>年報!BC30</f>
        <v>0</v>
      </c>
      <c r="Z30" s="114">
        <f>年報!BD30</f>
        <v>0</v>
      </c>
      <c r="AA30" s="115">
        <f>年報!BE30</f>
        <v>0</v>
      </c>
      <c r="AB30" s="116">
        <f>年報!BF30</f>
        <v>0</v>
      </c>
      <c r="AC30" s="116">
        <f>年報!BG30</f>
        <v>0</v>
      </c>
      <c r="AD30" s="105">
        <f>年報!BH30</f>
        <v>0</v>
      </c>
      <c r="AE30" s="114">
        <f>年報!BI30</f>
        <v>0</v>
      </c>
      <c r="AF30" s="115">
        <f>年報!BJ30</f>
        <v>0</v>
      </c>
      <c r="AG30" s="116">
        <f>年報!BK30</f>
        <v>0</v>
      </c>
      <c r="AH30" s="116">
        <f>年報!BL30</f>
        <v>0</v>
      </c>
      <c r="AI30" s="105">
        <f>年報!BM30</f>
        <v>0</v>
      </c>
      <c r="AJ30" s="114">
        <f>年報!BN30</f>
        <v>0</v>
      </c>
      <c r="AK30" s="115">
        <f>年報!BO30</f>
        <v>0</v>
      </c>
      <c r="AL30" s="116">
        <f>年報!BP30</f>
        <v>0</v>
      </c>
      <c r="AM30" s="116">
        <f>年報!BQ30</f>
        <v>0</v>
      </c>
      <c r="AN30" s="105">
        <f>年報!BR30</f>
        <v>0</v>
      </c>
      <c r="AO30" s="114">
        <f>月報!R31</f>
        <v>0</v>
      </c>
      <c r="AP30" s="115">
        <f>月報!S31</f>
        <v>0</v>
      </c>
      <c r="AQ30" s="116">
        <f>月報!T31</f>
        <v>0</v>
      </c>
      <c r="AR30" s="116">
        <f>月報!U31</f>
        <v>0</v>
      </c>
      <c r="AS30" s="105">
        <f>月報!V31</f>
        <v>0</v>
      </c>
    </row>
    <row r="31" spans="2:45" x14ac:dyDescent="0.45">
      <c r="B31" s="176"/>
      <c r="C31" s="39"/>
      <c r="D31" s="40"/>
      <c r="E31" s="40"/>
      <c r="F31" s="201"/>
      <c r="G31" s="201"/>
      <c r="H31" s="201"/>
      <c r="I31" s="201"/>
      <c r="J31" s="141"/>
      <c r="K31" s="114"/>
      <c r="L31" s="115"/>
      <c r="M31" s="116"/>
      <c r="N31" s="116"/>
      <c r="O31" s="105"/>
      <c r="P31" s="114"/>
      <c r="Q31" s="115"/>
      <c r="R31" s="116"/>
      <c r="S31" s="116"/>
      <c r="T31" s="105"/>
      <c r="U31" s="114"/>
      <c r="V31" s="115"/>
      <c r="W31" s="116"/>
      <c r="X31" s="116"/>
      <c r="Y31" s="105"/>
      <c r="Z31" s="114"/>
      <c r="AA31" s="115"/>
      <c r="AB31" s="116"/>
      <c r="AC31" s="116"/>
      <c r="AD31" s="105"/>
      <c r="AE31" s="114"/>
      <c r="AF31" s="115"/>
      <c r="AG31" s="116"/>
      <c r="AH31" s="116"/>
      <c r="AI31" s="105"/>
      <c r="AJ31" s="114"/>
      <c r="AK31" s="115"/>
      <c r="AL31" s="116"/>
      <c r="AM31" s="116"/>
      <c r="AN31" s="105"/>
      <c r="AO31" s="114"/>
      <c r="AP31" s="115"/>
      <c r="AQ31" s="116"/>
      <c r="AR31" s="116"/>
      <c r="AS31" s="105"/>
    </row>
    <row r="32" spans="2:45" x14ac:dyDescent="0.45">
      <c r="B32" s="176"/>
      <c r="C32" s="182" t="s">
        <v>45</v>
      </c>
      <c r="D32" s="166"/>
      <c r="E32" s="166"/>
      <c r="F32" s="41"/>
      <c r="G32" s="41"/>
      <c r="H32" s="41"/>
      <c r="I32" s="42"/>
      <c r="J32" s="140" t="s">
        <v>46</v>
      </c>
      <c r="K32" s="114">
        <f>年報!AO32</f>
        <v>0</v>
      </c>
      <c r="L32" s="115">
        <f>年報!AP32</f>
        <v>0</v>
      </c>
      <c r="M32" s="116">
        <f>年報!AQ32</f>
        <v>0</v>
      </c>
      <c r="N32" s="116">
        <f>年報!AR32</f>
        <v>0</v>
      </c>
      <c r="O32" s="105">
        <f>年報!AS32</f>
        <v>0</v>
      </c>
      <c r="P32" s="114">
        <f>年報!AT32</f>
        <v>0</v>
      </c>
      <c r="Q32" s="115">
        <f>年報!AU32</f>
        <v>0</v>
      </c>
      <c r="R32" s="116">
        <f>年報!AV32</f>
        <v>0</v>
      </c>
      <c r="S32" s="116">
        <f>年報!AW32</f>
        <v>0</v>
      </c>
      <c r="T32" s="105">
        <f>年報!AX32</f>
        <v>0</v>
      </c>
      <c r="U32" s="114">
        <f>年報!AY32</f>
        <v>0</v>
      </c>
      <c r="V32" s="115">
        <f>年報!AZ32</f>
        <v>0</v>
      </c>
      <c r="W32" s="116">
        <f>年報!BA32</f>
        <v>0</v>
      </c>
      <c r="X32" s="116">
        <f>年報!BB32</f>
        <v>0</v>
      </c>
      <c r="Y32" s="105">
        <f>年報!BC32</f>
        <v>0</v>
      </c>
      <c r="Z32" s="114">
        <f>年報!BD32</f>
        <v>0</v>
      </c>
      <c r="AA32" s="115">
        <f>年報!BE32</f>
        <v>0</v>
      </c>
      <c r="AB32" s="116">
        <f>年報!BF32</f>
        <v>0</v>
      </c>
      <c r="AC32" s="116">
        <f>年報!BG32</f>
        <v>0</v>
      </c>
      <c r="AD32" s="105">
        <f>年報!BH32</f>
        <v>0</v>
      </c>
      <c r="AE32" s="114">
        <f>年報!BI32</f>
        <v>0</v>
      </c>
      <c r="AF32" s="115">
        <f>年報!BJ32</f>
        <v>0</v>
      </c>
      <c r="AG32" s="116">
        <f>年報!BK32</f>
        <v>0</v>
      </c>
      <c r="AH32" s="116">
        <f>年報!BL32</f>
        <v>0</v>
      </c>
      <c r="AI32" s="105">
        <f>年報!BM32</f>
        <v>0</v>
      </c>
      <c r="AJ32" s="114">
        <f>年報!BN32</f>
        <v>0</v>
      </c>
      <c r="AK32" s="115">
        <f>年報!BO32</f>
        <v>0</v>
      </c>
      <c r="AL32" s="116">
        <f>年報!BP32</f>
        <v>0</v>
      </c>
      <c r="AM32" s="116">
        <f>年報!BQ32</f>
        <v>0</v>
      </c>
      <c r="AN32" s="105">
        <f>年報!BR32</f>
        <v>0</v>
      </c>
      <c r="AO32" s="114">
        <f>月報!R33</f>
        <v>0</v>
      </c>
      <c r="AP32" s="115">
        <f>月報!S33</f>
        <v>0</v>
      </c>
      <c r="AQ32" s="116">
        <f>月報!T33</f>
        <v>0</v>
      </c>
      <c r="AR32" s="116">
        <f>月報!U33</f>
        <v>0</v>
      </c>
      <c r="AS32" s="105">
        <f>月報!V33</f>
        <v>0</v>
      </c>
    </row>
    <row r="33" spans="2:45" x14ac:dyDescent="0.45">
      <c r="B33" s="176"/>
      <c r="C33" s="183"/>
      <c r="D33" s="184"/>
      <c r="E33" s="184"/>
      <c r="F33" s="31"/>
      <c r="G33" s="31"/>
      <c r="H33" s="31"/>
      <c r="I33" s="43"/>
      <c r="J33" s="141"/>
      <c r="K33" s="114"/>
      <c r="L33" s="115"/>
      <c r="M33" s="116"/>
      <c r="N33" s="116"/>
      <c r="O33" s="105"/>
      <c r="P33" s="114"/>
      <c r="Q33" s="115"/>
      <c r="R33" s="116"/>
      <c r="S33" s="116"/>
      <c r="T33" s="105"/>
      <c r="U33" s="114"/>
      <c r="V33" s="115"/>
      <c r="W33" s="116"/>
      <c r="X33" s="116"/>
      <c r="Y33" s="105"/>
      <c r="Z33" s="114"/>
      <c r="AA33" s="115"/>
      <c r="AB33" s="116"/>
      <c r="AC33" s="116"/>
      <c r="AD33" s="105"/>
      <c r="AE33" s="114"/>
      <c r="AF33" s="115"/>
      <c r="AG33" s="116"/>
      <c r="AH33" s="116"/>
      <c r="AI33" s="105"/>
      <c r="AJ33" s="114"/>
      <c r="AK33" s="115"/>
      <c r="AL33" s="116"/>
      <c r="AM33" s="116"/>
      <c r="AN33" s="105"/>
      <c r="AO33" s="114"/>
      <c r="AP33" s="115"/>
      <c r="AQ33" s="116"/>
      <c r="AR33" s="116"/>
      <c r="AS33" s="105"/>
    </row>
    <row r="34" spans="2:45" x14ac:dyDescent="0.45">
      <c r="B34" s="176"/>
      <c r="C34" s="199"/>
      <c r="D34" s="199"/>
      <c r="E34" s="199"/>
      <c r="F34" s="108" t="s">
        <v>47</v>
      </c>
      <c r="G34" s="108"/>
      <c r="H34" s="108"/>
      <c r="I34" s="109"/>
      <c r="J34" s="112" t="s">
        <v>48</v>
      </c>
      <c r="K34" s="114">
        <f>年報!AO34</f>
        <v>0</v>
      </c>
      <c r="L34" s="115">
        <f>年報!AP34</f>
        <v>0</v>
      </c>
      <c r="M34" s="116">
        <f>年報!AQ34</f>
        <v>0</v>
      </c>
      <c r="N34" s="116">
        <f>年報!AR34</f>
        <v>0</v>
      </c>
      <c r="O34" s="105">
        <f>年報!AS34</f>
        <v>0</v>
      </c>
      <c r="P34" s="114">
        <f>年報!AT34</f>
        <v>0</v>
      </c>
      <c r="Q34" s="115">
        <f>年報!AU34</f>
        <v>0</v>
      </c>
      <c r="R34" s="116">
        <f>年報!AV34</f>
        <v>0</v>
      </c>
      <c r="S34" s="116">
        <f>年報!AW34</f>
        <v>0</v>
      </c>
      <c r="T34" s="105">
        <f>年報!AX34</f>
        <v>0</v>
      </c>
      <c r="U34" s="114">
        <f>年報!AY34</f>
        <v>0</v>
      </c>
      <c r="V34" s="115">
        <f>年報!AZ34</f>
        <v>0</v>
      </c>
      <c r="W34" s="116">
        <f>年報!BA34</f>
        <v>0</v>
      </c>
      <c r="X34" s="116">
        <f>年報!BB34</f>
        <v>0</v>
      </c>
      <c r="Y34" s="105">
        <f>年報!BC34</f>
        <v>0</v>
      </c>
      <c r="Z34" s="114">
        <f>年報!BD34</f>
        <v>0</v>
      </c>
      <c r="AA34" s="115">
        <f>年報!BE34</f>
        <v>0</v>
      </c>
      <c r="AB34" s="116">
        <f>年報!BF34</f>
        <v>0</v>
      </c>
      <c r="AC34" s="116">
        <f>年報!BG34</f>
        <v>0</v>
      </c>
      <c r="AD34" s="105">
        <f>年報!BH34</f>
        <v>0</v>
      </c>
      <c r="AE34" s="114">
        <f>年報!BI34</f>
        <v>0</v>
      </c>
      <c r="AF34" s="115">
        <f>年報!BJ34</f>
        <v>0</v>
      </c>
      <c r="AG34" s="116">
        <f>年報!BK34</f>
        <v>0</v>
      </c>
      <c r="AH34" s="116">
        <f>年報!BL34</f>
        <v>0</v>
      </c>
      <c r="AI34" s="105">
        <f>年報!BM34</f>
        <v>0</v>
      </c>
      <c r="AJ34" s="114">
        <f>年報!BN34</f>
        <v>0</v>
      </c>
      <c r="AK34" s="115">
        <f>年報!BO34</f>
        <v>0</v>
      </c>
      <c r="AL34" s="116">
        <f>年報!BP34</f>
        <v>0</v>
      </c>
      <c r="AM34" s="116">
        <f>年報!BQ34</f>
        <v>0</v>
      </c>
      <c r="AN34" s="105">
        <f>年報!BR34</f>
        <v>0</v>
      </c>
      <c r="AO34" s="114">
        <f>月報!R35</f>
        <v>0</v>
      </c>
      <c r="AP34" s="115">
        <f>月報!S35</f>
        <v>0</v>
      </c>
      <c r="AQ34" s="116">
        <f>月報!T35</f>
        <v>0</v>
      </c>
      <c r="AR34" s="116">
        <f>月報!U35</f>
        <v>0</v>
      </c>
      <c r="AS34" s="105">
        <f>月報!V35</f>
        <v>0</v>
      </c>
    </row>
    <row r="35" spans="2:45" x14ac:dyDescent="0.45">
      <c r="B35" s="209"/>
      <c r="C35" s="44"/>
      <c r="D35" s="44"/>
      <c r="E35" s="44"/>
      <c r="F35" s="150"/>
      <c r="G35" s="150"/>
      <c r="H35" s="150"/>
      <c r="I35" s="151"/>
      <c r="J35" s="152"/>
      <c r="K35" s="114"/>
      <c r="L35" s="115"/>
      <c r="M35" s="116"/>
      <c r="N35" s="116"/>
      <c r="O35" s="105"/>
      <c r="P35" s="114"/>
      <c r="Q35" s="115"/>
      <c r="R35" s="116"/>
      <c r="S35" s="116"/>
      <c r="T35" s="105"/>
      <c r="U35" s="114"/>
      <c r="V35" s="115"/>
      <c r="W35" s="116"/>
      <c r="X35" s="116"/>
      <c r="Y35" s="105"/>
      <c r="Z35" s="114"/>
      <c r="AA35" s="115"/>
      <c r="AB35" s="116"/>
      <c r="AC35" s="116"/>
      <c r="AD35" s="105"/>
      <c r="AE35" s="114"/>
      <c r="AF35" s="115"/>
      <c r="AG35" s="116"/>
      <c r="AH35" s="116"/>
      <c r="AI35" s="105"/>
      <c r="AJ35" s="114"/>
      <c r="AK35" s="115"/>
      <c r="AL35" s="116"/>
      <c r="AM35" s="116"/>
      <c r="AN35" s="105"/>
      <c r="AO35" s="114"/>
      <c r="AP35" s="115"/>
      <c r="AQ35" s="116"/>
      <c r="AR35" s="116"/>
      <c r="AS35" s="105"/>
    </row>
    <row r="36" spans="2:45" x14ac:dyDescent="0.45">
      <c r="B36" s="176" t="s">
        <v>49</v>
      </c>
      <c r="C36" s="179" t="s">
        <v>50</v>
      </c>
      <c r="D36" s="180"/>
      <c r="E36" s="181"/>
      <c r="F36" s="195" t="s">
        <v>51</v>
      </c>
      <c r="G36" s="196"/>
      <c r="H36" s="196"/>
      <c r="I36" s="196"/>
      <c r="J36" s="197" t="s">
        <v>52</v>
      </c>
      <c r="K36" s="114">
        <f>年報!AO36</f>
        <v>0</v>
      </c>
      <c r="L36" s="115">
        <f>年報!AP36</f>
        <v>0</v>
      </c>
      <c r="M36" s="116">
        <f>年報!AQ36</f>
        <v>0</v>
      </c>
      <c r="N36" s="116">
        <f>年報!AR36</f>
        <v>0</v>
      </c>
      <c r="O36" s="105">
        <f>年報!AS36</f>
        <v>0</v>
      </c>
      <c r="P36" s="114">
        <f>年報!AT36</f>
        <v>0</v>
      </c>
      <c r="Q36" s="115">
        <f>年報!AU36</f>
        <v>0</v>
      </c>
      <c r="R36" s="116">
        <f>年報!AV36</f>
        <v>0</v>
      </c>
      <c r="S36" s="116">
        <f>年報!AW36</f>
        <v>0</v>
      </c>
      <c r="T36" s="105">
        <f>年報!AX36</f>
        <v>0</v>
      </c>
      <c r="U36" s="114">
        <f>年報!AY36</f>
        <v>0</v>
      </c>
      <c r="V36" s="115">
        <f>年報!AZ36</f>
        <v>0</v>
      </c>
      <c r="W36" s="116">
        <f>年報!BA36</f>
        <v>0</v>
      </c>
      <c r="X36" s="116">
        <f>年報!BB36</f>
        <v>0</v>
      </c>
      <c r="Y36" s="105">
        <f>年報!BC36</f>
        <v>0</v>
      </c>
      <c r="Z36" s="114">
        <f>年報!BD36</f>
        <v>0</v>
      </c>
      <c r="AA36" s="115">
        <f>年報!BE36</f>
        <v>0</v>
      </c>
      <c r="AB36" s="116">
        <f>年報!BF36</f>
        <v>0</v>
      </c>
      <c r="AC36" s="116">
        <f>年報!BG36</f>
        <v>0</v>
      </c>
      <c r="AD36" s="105">
        <f>年報!BH36</f>
        <v>0</v>
      </c>
      <c r="AE36" s="114">
        <f>年報!BI36</f>
        <v>0</v>
      </c>
      <c r="AF36" s="115">
        <f>年報!BJ36</f>
        <v>0</v>
      </c>
      <c r="AG36" s="116">
        <f>年報!BK36</f>
        <v>0</v>
      </c>
      <c r="AH36" s="116">
        <f>年報!BL36</f>
        <v>0</v>
      </c>
      <c r="AI36" s="105">
        <f>年報!BM36</f>
        <v>0</v>
      </c>
      <c r="AJ36" s="114">
        <f>年報!BN36</f>
        <v>0</v>
      </c>
      <c r="AK36" s="115">
        <f>年報!BO36</f>
        <v>0</v>
      </c>
      <c r="AL36" s="116">
        <f>年報!BP36</f>
        <v>0</v>
      </c>
      <c r="AM36" s="116">
        <f>年報!BQ36</f>
        <v>0</v>
      </c>
      <c r="AN36" s="105">
        <f>年報!BR36</f>
        <v>0</v>
      </c>
      <c r="AO36" s="114">
        <f>月報!R37</f>
        <v>0</v>
      </c>
      <c r="AP36" s="115">
        <f>月報!S37</f>
        <v>0</v>
      </c>
      <c r="AQ36" s="116">
        <f>月報!T37</f>
        <v>0</v>
      </c>
      <c r="AR36" s="116">
        <f>月報!U37</f>
        <v>0</v>
      </c>
      <c r="AS36" s="105">
        <f>月報!V37</f>
        <v>0</v>
      </c>
    </row>
    <row r="37" spans="2:45" x14ac:dyDescent="0.45">
      <c r="B37" s="176"/>
      <c r="C37" s="179"/>
      <c r="D37" s="180"/>
      <c r="E37" s="181"/>
      <c r="F37" s="186"/>
      <c r="G37" s="187"/>
      <c r="H37" s="187"/>
      <c r="I37" s="187"/>
      <c r="J37" s="198"/>
      <c r="K37" s="114"/>
      <c r="L37" s="115"/>
      <c r="M37" s="116"/>
      <c r="N37" s="116"/>
      <c r="O37" s="105"/>
      <c r="P37" s="114"/>
      <c r="Q37" s="115"/>
      <c r="R37" s="116"/>
      <c r="S37" s="116"/>
      <c r="T37" s="105"/>
      <c r="U37" s="114"/>
      <c r="V37" s="115"/>
      <c r="W37" s="116"/>
      <c r="X37" s="116"/>
      <c r="Y37" s="105"/>
      <c r="Z37" s="114"/>
      <c r="AA37" s="115"/>
      <c r="AB37" s="116"/>
      <c r="AC37" s="116"/>
      <c r="AD37" s="105"/>
      <c r="AE37" s="114"/>
      <c r="AF37" s="115"/>
      <c r="AG37" s="116"/>
      <c r="AH37" s="116"/>
      <c r="AI37" s="105"/>
      <c r="AJ37" s="114"/>
      <c r="AK37" s="115"/>
      <c r="AL37" s="116"/>
      <c r="AM37" s="116"/>
      <c r="AN37" s="105"/>
      <c r="AO37" s="114"/>
      <c r="AP37" s="115"/>
      <c r="AQ37" s="116"/>
      <c r="AR37" s="116"/>
      <c r="AS37" s="105"/>
    </row>
    <row r="38" spans="2:45" x14ac:dyDescent="0.45">
      <c r="B38" s="176"/>
      <c r="C38" s="179"/>
      <c r="D38" s="180"/>
      <c r="E38" s="181"/>
      <c r="F38" s="162" t="s">
        <v>53</v>
      </c>
      <c r="G38" s="163"/>
      <c r="H38" s="163"/>
      <c r="I38" s="163"/>
      <c r="J38" s="45"/>
      <c r="K38" s="114">
        <f>年報!AO38</f>
        <v>0</v>
      </c>
      <c r="L38" s="115">
        <f>年報!AP38</f>
        <v>0</v>
      </c>
      <c r="M38" s="116">
        <f>年報!AQ38</f>
        <v>0</v>
      </c>
      <c r="N38" s="116">
        <f>年報!AR38</f>
        <v>0</v>
      </c>
      <c r="O38" s="105">
        <f>年報!AS38</f>
        <v>0</v>
      </c>
      <c r="P38" s="114">
        <f>年報!AT38</f>
        <v>0</v>
      </c>
      <c r="Q38" s="115">
        <f>年報!AU38</f>
        <v>0</v>
      </c>
      <c r="R38" s="116">
        <f>年報!AV38</f>
        <v>0</v>
      </c>
      <c r="S38" s="116">
        <f>年報!AW38</f>
        <v>0</v>
      </c>
      <c r="T38" s="105">
        <f>年報!AX38</f>
        <v>0</v>
      </c>
      <c r="U38" s="114">
        <f>年報!AY38</f>
        <v>0</v>
      </c>
      <c r="V38" s="115">
        <f>年報!AZ38</f>
        <v>0</v>
      </c>
      <c r="W38" s="116">
        <f>年報!BA38</f>
        <v>0</v>
      </c>
      <c r="X38" s="116">
        <f>年報!BB38</f>
        <v>0</v>
      </c>
      <c r="Y38" s="105">
        <f>年報!BC38</f>
        <v>0</v>
      </c>
      <c r="Z38" s="114">
        <f>年報!BD38</f>
        <v>0</v>
      </c>
      <c r="AA38" s="115">
        <f>年報!BE38</f>
        <v>0</v>
      </c>
      <c r="AB38" s="116">
        <f>年報!BF38</f>
        <v>0</v>
      </c>
      <c r="AC38" s="116">
        <f>年報!BG38</f>
        <v>0</v>
      </c>
      <c r="AD38" s="105">
        <f>年報!BH38</f>
        <v>0</v>
      </c>
      <c r="AE38" s="114">
        <f>年報!BI38</f>
        <v>0</v>
      </c>
      <c r="AF38" s="115">
        <f>年報!BJ38</f>
        <v>0</v>
      </c>
      <c r="AG38" s="116">
        <f>年報!BK38</f>
        <v>0</v>
      </c>
      <c r="AH38" s="116">
        <f>年報!BL38</f>
        <v>0</v>
      </c>
      <c r="AI38" s="105">
        <f>年報!BM38</f>
        <v>0</v>
      </c>
      <c r="AJ38" s="114">
        <f>年報!BN38</f>
        <v>0</v>
      </c>
      <c r="AK38" s="115">
        <f>年報!BO38</f>
        <v>0</v>
      </c>
      <c r="AL38" s="116">
        <f>年報!BP38</f>
        <v>0</v>
      </c>
      <c r="AM38" s="116">
        <f>年報!BQ38</f>
        <v>0</v>
      </c>
      <c r="AN38" s="105">
        <f>年報!BR38</f>
        <v>0</v>
      </c>
      <c r="AO38" s="114">
        <f>月報!R39</f>
        <v>0</v>
      </c>
      <c r="AP38" s="115">
        <f>月報!S39</f>
        <v>0</v>
      </c>
      <c r="AQ38" s="116">
        <f>月報!T39</f>
        <v>0</v>
      </c>
      <c r="AR38" s="116">
        <f>月報!U39</f>
        <v>0</v>
      </c>
      <c r="AS38" s="105">
        <f>月報!V39</f>
        <v>0</v>
      </c>
    </row>
    <row r="39" spans="2:45" x14ac:dyDescent="0.45">
      <c r="B39" s="176"/>
      <c r="C39" s="179"/>
      <c r="D39" s="180"/>
      <c r="E39" s="181"/>
      <c r="F39" s="186"/>
      <c r="G39" s="187"/>
      <c r="H39" s="187"/>
      <c r="I39" s="187"/>
      <c r="J39" s="46"/>
      <c r="K39" s="114"/>
      <c r="L39" s="115"/>
      <c r="M39" s="116"/>
      <c r="N39" s="116"/>
      <c r="O39" s="105"/>
      <c r="P39" s="114"/>
      <c r="Q39" s="115"/>
      <c r="R39" s="116"/>
      <c r="S39" s="116"/>
      <c r="T39" s="105"/>
      <c r="U39" s="114"/>
      <c r="V39" s="115"/>
      <c r="W39" s="116"/>
      <c r="X39" s="116"/>
      <c r="Y39" s="105"/>
      <c r="Z39" s="114"/>
      <c r="AA39" s="115"/>
      <c r="AB39" s="116"/>
      <c r="AC39" s="116"/>
      <c r="AD39" s="105"/>
      <c r="AE39" s="114"/>
      <c r="AF39" s="115"/>
      <c r="AG39" s="116"/>
      <c r="AH39" s="116"/>
      <c r="AI39" s="105"/>
      <c r="AJ39" s="114"/>
      <c r="AK39" s="115"/>
      <c r="AL39" s="116"/>
      <c r="AM39" s="116"/>
      <c r="AN39" s="105"/>
      <c r="AO39" s="114"/>
      <c r="AP39" s="115"/>
      <c r="AQ39" s="116"/>
      <c r="AR39" s="116"/>
      <c r="AS39" s="105"/>
    </row>
    <row r="40" spans="2:45" x14ac:dyDescent="0.45">
      <c r="B40" s="177"/>
      <c r="C40" s="47"/>
      <c r="D40" s="48"/>
      <c r="E40" s="48"/>
      <c r="F40" s="119" t="s">
        <v>54</v>
      </c>
      <c r="G40" s="119"/>
      <c r="H40" s="119"/>
      <c r="I40" s="119"/>
      <c r="J40" s="193" t="s">
        <v>55</v>
      </c>
      <c r="K40" s="114">
        <f>年報!AO40</f>
        <v>0</v>
      </c>
      <c r="L40" s="115">
        <f>年報!AP40</f>
        <v>0</v>
      </c>
      <c r="M40" s="116">
        <f>年報!AQ40</f>
        <v>0</v>
      </c>
      <c r="N40" s="116">
        <f>年報!AR40</f>
        <v>0</v>
      </c>
      <c r="O40" s="105">
        <f>年報!AS40</f>
        <v>0</v>
      </c>
      <c r="P40" s="114">
        <f>年報!AT40</f>
        <v>0</v>
      </c>
      <c r="Q40" s="115">
        <f>年報!AU40</f>
        <v>0</v>
      </c>
      <c r="R40" s="116">
        <f>年報!AV40</f>
        <v>0</v>
      </c>
      <c r="S40" s="116">
        <f>年報!AW40</f>
        <v>0</v>
      </c>
      <c r="T40" s="105">
        <f>年報!AX40</f>
        <v>0</v>
      </c>
      <c r="U40" s="114">
        <f>年報!AY40</f>
        <v>0</v>
      </c>
      <c r="V40" s="115">
        <f>年報!AZ40</f>
        <v>0</v>
      </c>
      <c r="W40" s="116">
        <f>年報!BA40</f>
        <v>0</v>
      </c>
      <c r="X40" s="116">
        <f>年報!BB40</f>
        <v>0</v>
      </c>
      <c r="Y40" s="105">
        <f>年報!BC40</f>
        <v>0</v>
      </c>
      <c r="Z40" s="114">
        <f>年報!BD40</f>
        <v>0</v>
      </c>
      <c r="AA40" s="115">
        <f>年報!BE40</f>
        <v>0</v>
      </c>
      <c r="AB40" s="116">
        <f>年報!BF40</f>
        <v>0</v>
      </c>
      <c r="AC40" s="116">
        <f>年報!BG40</f>
        <v>0</v>
      </c>
      <c r="AD40" s="105">
        <f>年報!BH40</f>
        <v>0</v>
      </c>
      <c r="AE40" s="114">
        <f>年報!BI40</f>
        <v>0</v>
      </c>
      <c r="AF40" s="115">
        <f>年報!BJ40</f>
        <v>0</v>
      </c>
      <c r="AG40" s="116">
        <f>年報!BK40</f>
        <v>0</v>
      </c>
      <c r="AH40" s="116">
        <f>年報!BL40</f>
        <v>0</v>
      </c>
      <c r="AI40" s="105">
        <f>年報!BM40</f>
        <v>0</v>
      </c>
      <c r="AJ40" s="114">
        <f>年報!BN40</f>
        <v>0</v>
      </c>
      <c r="AK40" s="115">
        <f>年報!BO40</f>
        <v>0</v>
      </c>
      <c r="AL40" s="116">
        <f>年報!BP40</f>
        <v>0</v>
      </c>
      <c r="AM40" s="116">
        <f>年報!BQ40</f>
        <v>0</v>
      </c>
      <c r="AN40" s="105">
        <f>年報!BR40</f>
        <v>0</v>
      </c>
      <c r="AO40" s="114">
        <f>月報!R41</f>
        <v>0</v>
      </c>
      <c r="AP40" s="115">
        <f>月報!S41</f>
        <v>0</v>
      </c>
      <c r="AQ40" s="116">
        <f>月報!T41</f>
        <v>0</v>
      </c>
      <c r="AR40" s="116">
        <f>月報!U41</f>
        <v>0</v>
      </c>
      <c r="AS40" s="105">
        <f>月報!V41</f>
        <v>0</v>
      </c>
    </row>
    <row r="41" spans="2:45" x14ac:dyDescent="0.45">
      <c r="B41" s="177"/>
      <c r="C41" s="47"/>
      <c r="D41" s="48"/>
      <c r="E41" s="48"/>
      <c r="F41" s="121"/>
      <c r="G41" s="121"/>
      <c r="H41" s="121"/>
      <c r="I41" s="121"/>
      <c r="J41" s="194"/>
      <c r="K41" s="114"/>
      <c r="L41" s="115"/>
      <c r="M41" s="116"/>
      <c r="N41" s="116"/>
      <c r="O41" s="105"/>
      <c r="P41" s="114"/>
      <c r="Q41" s="115"/>
      <c r="R41" s="116"/>
      <c r="S41" s="116"/>
      <c r="T41" s="105"/>
      <c r="U41" s="114"/>
      <c r="V41" s="115"/>
      <c r="W41" s="116"/>
      <c r="X41" s="116"/>
      <c r="Y41" s="105"/>
      <c r="Z41" s="114"/>
      <c r="AA41" s="115"/>
      <c r="AB41" s="116"/>
      <c r="AC41" s="116"/>
      <c r="AD41" s="105"/>
      <c r="AE41" s="114"/>
      <c r="AF41" s="115"/>
      <c r="AG41" s="116"/>
      <c r="AH41" s="116"/>
      <c r="AI41" s="105"/>
      <c r="AJ41" s="114"/>
      <c r="AK41" s="115"/>
      <c r="AL41" s="116"/>
      <c r="AM41" s="116"/>
      <c r="AN41" s="105"/>
      <c r="AO41" s="114"/>
      <c r="AP41" s="115"/>
      <c r="AQ41" s="116"/>
      <c r="AR41" s="116"/>
      <c r="AS41" s="105"/>
    </row>
    <row r="42" spans="2:45" x14ac:dyDescent="0.45">
      <c r="B42" s="177"/>
      <c r="C42" s="122" t="s">
        <v>56</v>
      </c>
      <c r="D42" s="123"/>
      <c r="E42" s="188"/>
      <c r="F42" s="189" t="s">
        <v>57</v>
      </c>
      <c r="G42" s="190"/>
      <c r="H42" s="190"/>
      <c r="I42" s="190"/>
      <c r="J42" s="193" t="s">
        <v>58</v>
      </c>
      <c r="K42" s="114">
        <f>年報!AO42</f>
        <v>0</v>
      </c>
      <c r="L42" s="115">
        <f>年報!AP42</f>
        <v>0</v>
      </c>
      <c r="M42" s="116">
        <f>年報!AQ42</f>
        <v>0</v>
      </c>
      <c r="N42" s="116">
        <f>年報!AR42</f>
        <v>0</v>
      </c>
      <c r="O42" s="105">
        <f>年報!AS42</f>
        <v>0</v>
      </c>
      <c r="P42" s="114">
        <f>年報!AT42</f>
        <v>0</v>
      </c>
      <c r="Q42" s="115">
        <f>年報!AU42</f>
        <v>0</v>
      </c>
      <c r="R42" s="116">
        <f>年報!AV42</f>
        <v>0</v>
      </c>
      <c r="S42" s="116">
        <f>年報!AW42</f>
        <v>0</v>
      </c>
      <c r="T42" s="105">
        <f>年報!AX42</f>
        <v>0</v>
      </c>
      <c r="U42" s="114">
        <f>年報!AY42</f>
        <v>0</v>
      </c>
      <c r="V42" s="115">
        <f>年報!AZ42</f>
        <v>0</v>
      </c>
      <c r="W42" s="116">
        <f>年報!BA42</f>
        <v>0</v>
      </c>
      <c r="X42" s="116">
        <f>年報!BB42</f>
        <v>0</v>
      </c>
      <c r="Y42" s="105">
        <f>年報!BC42</f>
        <v>0</v>
      </c>
      <c r="Z42" s="114">
        <f>年報!BD42</f>
        <v>0</v>
      </c>
      <c r="AA42" s="115">
        <f>年報!BE42</f>
        <v>0</v>
      </c>
      <c r="AB42" s="116">
        <f>年報!BF42</f>
        <v>0</v>
      </c>
      <c r="AC42" s="116">
        <f>年報!BG42</f>
        <v>0</v>
      </c>
      <c r="AD42" s="105">
        <f>年報!BH42</f>
        <v>0</v>
      </c>
      <c r="AE42" s="114">
        <f>年報!BI42</f>
        <v>0</v>
      </c>
      <c r="AF42" s="115">
        <f>年報!BJ42</f>
        <v>0</v>
      </c>
      <c r="AG42" s="116">
        <f>年報!BK42</f>
        <v>0</v>
      </c>
      <c r="AH42" s="116">
        <f>年報!BL42</f>
        <v>0</v>
      </c>
      <c r="AI42" s="105">
        <f>年報!BM42</f>
        <v>0</v>
      </c>
      <c r="AJ42" s="114">
        <f>年報!BN42</f>
        <v>0</v>
      </c>
      <c r="AK42" s="115">
        <f>年報!BO42</f>
        <v>0</v>
      </c>
      <c r="AL42" s="116">
        <f>年報!BP42</f>
        <v>0</v>
      </c>
      <c r="AM42" s="116">
        <f>年報!BQ42</f>
        <v>0</v>
      </c>
      <c r="AN42" s="105">
        <f>年報!BR42</f>
        <v>0</v>
      </c>
      <c r="AO42" s="114">
        <f>月報!R43</f>
        <v>0</v>
      </c>
      <c r="AP42" s="115">
        <f>月報!S43</f>
        <v>0</v>
      </c>
      <c r="AQ42" s="116">
        <f>月報!T43</f>
        <v>0</v>
      </c>
      <c r="AR42" s="116">
        <f>月報!U43</f>
        <v>0</v>
      </c>
      <c r="AS42" s="105">
        <f>月報!V43</f>
        <v>0</v>
      </c>
    </row>
    <row r="43" spans="2:45" x14ac:dyDescent="0.45">
      <c r="B43" s="177"/>
      <c r="C43" s="179"/>
      <c r="D43" s="180"/>
      <c r="E43" s="181"/>
      <c r="F43" s="191"/>
      <c r="G43" s="192"/>
      <c r="H43" s="192"/>
      <c r="I43" s="192"/>
      <c r="J43" s="194"/>
      <c r="K43" s="114"/>
      <c r="L43" s="115"/>
      <c r="M43" s="116"/>
      <c r="N43" s="116"/>
      <c r="O43" s="105"/>
      <c r="P43" s="114"/>
      <c r="Q43" s="115"/>
      <c r="R43" s="116"/>
      <c r="S43" s="116"/>
      <c r="T43" s="105"/>
      <c r="U43" s="114"/>
      <c r="V43" s="115"/>
      <c r="W43" s="116"/>
      <c r="X43" s="116"/>
      <c r="Y43" s="105"/>
      <c r="Z43" s="114"/>
      <c r="AA43" s="115"/>
      <c r="AB43" s="116"/>
      <c r="AC43" s="116"/>
      <c r="AD43" s="105"/>
      <c r="AE43" s="114"/>
      <c r="AF43" s="115"/>
      <c r="AG43" s="116"/>
      <c r="AH43" s="116"/>
      <c r="AI43" s="105"/>
      <c r="AJ43" s="114"/>
      <c r="AK43" s="115"/>
      <c r="AL43" s="116"/>
      <c r="AM43" s="116"/>
      <c r="AN43" s="105"/>
      <c r="AO43" s="114"/>
      <c r="AP43" s="115"/>
      <c r="AQ43" s="116"/>
      <c r="AR43" s="116"/>
      <c r="AS43" s="105"/>
    </row>
    <row r="44" spans="2:45" x14ac:dyDescent="0.45">
      <c r="B44" s="177"/>
      <c r="C44" s="179"/>
      <c r="D44" s="180"/>
      <c r="E44" s="181"/>
      <c r="F44" s="162" t="s">
        <v>59</v>
      </c>
      <c r="G44" s="163"/>
      <c r="H44" s="163"/>
      <c r="I44" s="163"/>
      <c r="J44" s="45"/>
      <c r="K44" s="114">
        <f>年報!AO44</f>
        <v>0</v>
      </c>
      <c r="L44" s="115">
        <f>年報!AP44</f>
        <v>0</v>
      </c>
      <c r="M44" s="116">
        <f>年報!AQ44</f>
        <v>0</v>
      </c>
      <c r="N44" s="116">
        <f>年報!AR44</f>
        <v>0</v>
      </c>
      <c r="O44" s="105">
        <f>年報!AS44</f>
        <v>0</v>
      </c>
      <c r="P44" s="114">
        <f>年報!AT44</f>
        <v>0</v>
      </c>
      <c r="Q44" s="115">
        <f>年報!AU44</f>
        <v>0</v>
      </c>
      <c r="R44" s="116">
        <f>年報!AV44</f>
        <v>0</v>
      </c>
      <c r="S44" s="116">
        <f>年報!AW44</f>
        <v>0</v>
      </c>
      <c r="T44" s="105">
        <f>年報!AX44</f>
        <v>0</v>
      </c>
      <c r="U44" s="114">
        <f>年報!AY44</f>
        <v>0</v>
      </c>
      <c r="V44" s="115">
        <f>年報!AZ44</f>
        <v>0</v>
      </c>
      <c r="W44" s="116">
        <f>年報!BA44</f>
        <v>0</v>
      </c>
      <c r="X44" s="116">
        <f>年報!BB44</f>
        <v>0</v>
      </c>
      <c r="Y44" s="105">
        <f>年報!BC44</f>
        <v>0</v>
      </c>
      <c r="Z44" s="114">
        <f>年報!BD44</f>
        <v>0</v>
      </c>
      <c r="AA44" s="115">
        <f>年報!BE44</f>
        <v>0</v>
      </c>
      <c r="AB44" s="116">
        <f>年報!BF44</f>
        <v>0</v>
      </c>
      <c r="AC44" s="116">
        <f>年報!BG44</f>
        <v>0</v>
      </c>
      <c r="AD44" s="105">
        <f>年報!BH44</f>
        <v>0</v>
      </c>
      <c r="AE44" s="114">
        <f>年報!BI44</f>
        <v>0</v>
      </c>
      <c r="AF44" s="115">
        <f>年報!BJ44</f>
        <v>0</v>
      </c>
      <c r="AG44" s="116">
        <f>年報!BK44</f>
        <v>0</v>
      </c>
      <c r="AH44" s="116">
        <f>年報!BL44</f>
        <v>0</v>
      </c>
      <c r="AI44" s="105">
        <f>年報!BM44</f>
        <v>0</v>
      </c>
      <c r="AJ44" s="114">
        <f>年報!BN44</f>
        <v>0</v>
      </c>
      <c r="AK44" s="115">
        <f>年報!BO44</f>
        <v>0</v>
      </c>
      <c r="AL44" s="116">
        <f>年報!BP44</f>
        <v>0</v>
      </c>
      <c r="AM44" s="116">
        <f>年報!BQ44</f>
        <v>0</v>
      </c>
      <c r="AN44" s="105">
        <f>年報!BR44</f>
        <v>0</v>
      </c>
      <c r="AO44" s="114">
        <f>月報!R45</f>
        <v>0</v>
      </c>
      <c r="AP44" s="115">
        <f>月報!S45</f>
        <v>0</v>
      </c>
      <c r="AQ44" s="116">
        <f>月報!T45</f>
        <v>0</v>
      </c>
      <c r="AR44" s="116">
        <f>月報!U45</f>
        <v>0</v>
      </c>
      <c r="AS44" s="105">
        <f>月報!V45</f>
        <v>0</v>
      </c>
    </row>
    <row r="45" spans="2:45" x14ac:dyDescent="0.45">
      <c r="B45" s="177"/>
      <c r="C45" s="179"/>
      <c r="D45" s="180"/>
      <c r="E45" s="181"/>
      <c r="F45" s="186"/>
      <c r="G45" s="187"/>
      <c r="H45" s="187"/>
      <c r="I45" s="187"/>
      <c r="J45" s="46"/>
      <c r="K45" s="114"/>
      <c r="L45" s="115"/>
      <c r="M45" s="116"/>
      <c r="N45" s="116"/>
      <c r="O45" s="105"/>
      <c r="P45" s="114"/>
      <c r="Q45" s="115"/>
      <c r="R45" s="116"/>
      <c r="S45" s="116"/>
      <c r="T45" s="105"/>
      <c r="U45" s="114"/>
      <c r="V45" s="115"/>
      <c r="W45" s="116"/>
      <c r="X45" s="116"/>
      <c r="Y45" s="105"/>
      <c r="Z45" s="114"/>
      <c r="AA45" s="115"/>
      <c r="AB45" s="116"/>
      <c r="AC45" s="116"/>
      <c r="AD45" s="105"/>
      <c r="AE45" s="114"/>
      <c r="AF45" s="115"/>
      <c r="AG45" s="116"/>
      <c r="AH45" s="116"/>
      <c r="AI45" s="105"/>
      <c r="AJ45" s="114"/>
      <c r="AK45" s="115"/>
      <c r="AL45" s="116"/>
      <c r="AM45" s="116"/>
      <c r="AN45" s="105"/>
      <c r="AO45" s="114"/>
      <c r="AP45" s="115"/>
      <c r="AQ45" s="116"/>
      <c r="AR45" s="116"/>
      <c r="AS45" s="105"/>
    </row>
    <row r="46" spans="2:45" x14ac:dyDescent="0.45">
      <c r="B46" s="177"/>
      <c r="C46" s="49"/>
      <c r="D46" s="49"/>
      <c r="E46" s="49"/>
      <c r="F46" s="119" t="s">
        <v>54</v>
      </c>
      <c r="G46" s="119"/>
      <c r="H46" s="119"/>
      <c r="I46" s="119"/>
      <c r="J46" s="140" t="s">
        <v>60</v>
      </c>
      <c r="K46" s="114">
        <f>年報!AO46</f>
        <v>0</v>
      </c>
      <c r="L46" s="115">
        <f>年報!AP46</f>
        <v>0</v>
      </c>
      <c r="M46" s="116">
        <f>年報!AQ46</f>
        <v>0</v>
      </c>
      <c r="N46" s="116">
        <f>年報!AR46</f>
        <v>0</v>
      </c>
      <c r="O46" s="105">
        <f>年報!AS46</f>
        <v>0</v>
      </c>
      <c r="P46" s="114">
        <f>年報!AT46</f>
        <v>0</v>
      </c>
      <c r="Q46" s="115">
        <f>年報!AU46</f>
        <v>0</v>
      </c>
      <c r="R46" s="116">
        <f>年報!AV46</f>
        <v>0</v>
      </c>
      <c r="S46" s="116">
        <f>年報!AW46</f>
        <v>0</v>
      </c>
      <c r="T46" s="105">
        <f>年報!AX46</f>
        <v>0</v>
      </c>
      <c r="U46" s="114">
        <f>年報!AY46</f>
        <v>0</v>
      </c>
      <c r="V46" s="115">
        <f>年報!AZ46</f>
        <v>0</v>
      </c>
      <c r="W46" s="116">
        <f>年報!BA46</f>
        <v>0</v>
      </c>
      <c r="X46" s="116">
        <f>年報!BB46</f>
        <v>0</v>
      </c>
      <c r="Y46" s="105">
        <f>年報!BC46</f>
        <v>0</v>
      </c>
      <c r="Z46" s="114">
        <f>年報!BD46</f>
        <v>0</v>
      </c>
      <c r="AA46" s="115">
        <f>年報!BE46</f>
        <v>0</v>
      </c>
      <c r="AB46" s="116">
        <f>年報!BF46</f>
        <v>0</v>
      </c>
      <c r="AC46" s="116">
        <f>年報!BG46</f>
        <v>0</v>
      </c>
      <c r="AD46" s="105">
        <f>年報!BH46</f>
        <v>0</v>
      </c>
      <c r="AE46" s="114">
        <f>年報!BI46</f>
        <v>0</v>
      </c>
      <c r="AF46" s="115">
        <f>年報!BJ46</f>
        <v>0</v>
      </c>
      <c r="AG46" s="116">
        <f>年報!BK46</f>
        <v>0</v>
      </c>
      <c r="AH46" s="116">
        <f>年報!BL46</f>
        <v>0</v>
      </c>
      <c r="AI46" s="105">
        <f>年報!BM46</f>
        <v>0</v>
      </c>
      <c r="AJ46" s="114">
        <f>年報!BN46</f>
        <v>0</v>
      </c>
      <c r="AK46" s="115">
        <f>年報!BO46</f>
        <v>0</v>
      </c>
      <c r="AL46" s="116">
        <f>年報!BP46</f>
        <v>0</v>
      </c>
      <c r="AM46" s="116">
        <f>年報!BQ46</f>
        <v>0</v>
      </c>
      <c r="AN46" s="105">
        <f>年報!BR46</f>
        <v>0</v>
      </c>
      <c r="AO46" s="114">
        <f>月報!R47</f>
        <v>0</v>
      </c>
      <c r="AP46" s="115">
        <f>月報!S47</f>
        <v>0</v>
      </c>
      <c r="AQ46" s="116">
        <f>月報!T47</f>
        <v>0</v>
      </c>
      <c r="AR46" s="116">
        <f>月報!U47</f>
        <v>0</v>
      </c>
      <c r="AS46" s="105">
        <f>月報!V47</f>
        <v>0</v>
      </c>
    </row>
    <row r="47" spans="2:45" x14ac:dyDescent="0.45">
      <c r="B47" s="177"/>
      <c r="C47" s="50"/>
      <c r="D47" s="51"/>
      <c r="E47" s="51"/>
      <c r="F47" s="121"/>
      <c r="G47" s="121"/>
      <c r="H47" s="121"/>
      <c r="I47" s="121"/>
      <c r="J47" s="141"/>
      <c r="K47" s="114"/>
      <c r="L47" s="115"/>
      <c r="M47" s="116"/>
      <c r="N47" s="116"/>
      <c r="O47" s="105"/>
      <c r="P47" s="114"/>
      <c r="Q47" s="115"/>
      <c r="R47" s="116"/>
      <c r="S47" s="116"/>
      <c r="T47" s="105"/>
      <c r="U47" s="114"/>
      <c r="V47" s="115"/>
      <c r="W47" s="116"/>
      <c r="X47" s="116"/>
      <c r="Y47" s="105"/>
      <c r="Z47" s="114"/>
      <c r="AA47" s="115"/>
      <c r="AB47" s="116"/>
      <c r="AC47" s="116"/>
      <c r="AD47" s="105"/>
      <c r="AE47" s="114"/>
      <c r="AF47" s="115"/>
      <c r="AG47" s="116"/>
      <c r="AH47" s="116"/>
      <c r="AI47" s="105"/>
      <c r="AJ47" s="114"/>
      <c r="AK47" s="115"/>
      <c r="AL47" s="116"/>
      <c r="AM47" s="116"/>
      <c r="AN47" s="105"/>
      <c r="AO47" s="114"/>
      <c r="AP47" s="115"/>
      <c r="AQ47" s="116"/>
      <c r="AR47" s="116"/>
      <c r="AS47" s="105"/>
    </row>
    <row r="48" spans="2:45" x14ac:dyDescent="0.45">
      <c r="B48" s="176"/>
      <c r="C48" s="106" t="s">
        <v>61</v>
      </c>
      <c r="D48" s="106"/>
      <c r="E48" s="106"/>
      <c r="F48" s="108" t="s">
        <v>62</v>
      </c>
      <c r="G48" s="108"/>
      <c r="H48" s="108"/>
      <c r="I48" s="109"/>
      <c r="J48" s="112" t="s">
        <v>63</v>
      </c>
      <c r="K48" s="114">
        <f>年報!AO48</f>
        <v>0</v>
      </c>
      <c r="L48" s="115">
        <f>年報!AP48</f>
        <v>0</v>
      </c>
      <c r="M48" s="116">
        <f>年報!AQ48</f>
        <v>0</v>
      </c>
      <c r="N48" s="116">
        <f>年報!AR48</f>
        <v>0</v>
      </c>
      <c r="O48" s="105">
        <f>年報!AS48</f>
        <v>0</v>
      </c>
      <c r="P48" s="114">
        <f>年報!AT48</f>
        <v>0</v>
      </c>
      <c r="Q48" s="115">
        <f>年報!AU48</f>
        <v>0</v>
      </c>
      <c r="R48" s="116">
        <f>年報!AV48</f>
        <v>0</v>
      </c>
      <c r="S48" s="116">
        <f>年報!AW48</f>
        <v>0</v>
      </c>
      <c r="T48" s="105">
        <f>年報!AX48</f>
        <v>0</v>
      </c>
      <c r="U48" s="114">
        <f>年報!AY48</f>
        <v>0</v>
      </c>
      <c r="V48" s="115">
        <f>年報!AZ48</f>
        <v>0</v>
      </c>
      <c r="W48" s="116">
        <f>年報!BA48</f>
        <v>0</v>
      </c>
      <c r="X48" s="116">
        <f>年報!BB48</f>
        <v>0</v>
      </c>
      <c r="Y48" s="105">
        <f>年報!BC48</f>
        <v>0</v>
      </c>
      <c r="Z48" s="114">
        <f>年報!BD48</f>
        <v>0</v>
      </c>
      <c r="AA48" s="115">
        <f>年報!BE48</f>
        <v>0</v>
      </c>
      <c r="AB48" s="116">
        <f>年報!BF48</f>
        <v>0</v>
      </c>
      <c r="AC48" s="116">
        <f>年報!BG48</f>
        <v>0</v>
      </c>
      <c r="AD48" s="105">
        <f>年報!BH48</f>
        <v>0</v>
      </c>
      <c r="AE48" s="114">
        <f>年報!BI48</f>
        <v>0</v>
      </c>
      <c r="AF48" s="115">
        <f>年報!BJ48</f>
        <v>0</v>
      </c>
      <c r="AG48" s="116">
        <f>年報!BK48</f>
        <v>0</v>
      </c>
      <c r="AH48" s="116">
        <f>年報!BL48</f>
        <v>0</v>
      </c>
      <c r="AI48" s="105">
        <f>年報!BM48</f>
        <v>0</v>
      </c>
      <c r="AJ48" s="114">
        <f>年報!BN48</f>
        <v>0</v>
      </c>
      <c r="AK48" s="115">
        <f>年報!BO48</f>
        <v>0</v>
      </c>
      <c r="AL48" s="116">
        <f>年報!BP48</f>
        <v>0</v>
      </c>
      <c r="AM48" s="116">
        <f>年報!BQ48</f>
        <v>0</v>
      </c>
      <c r="AN48" s="105">
        <f>年報!BR48</f>
        <v>0</v>
      </c>
      <c r="AO48" s="114">
        <f>月報!R49</f>
        <v>0</v>
      </c>
      <c r="AP48" s="115">
        <f>月報!S49</f>
        <v>0</v>
      </c>
      <c r="AQ48" s="116">
        <f>月報!T49</f>
        <v>0</v>
      </c>
      <c r="AR48" s="116">
        <f>月報!U49</f>
        <v>0</v>
      </c>
      <c r="AS48" s="105">
        <f>月報!V49</f>
        <v>0</v>
      </c>
    </row>
    <row r="49" spans="2:45" x14ac:dyDescent="0.45">
      <c r="B49" s="176"/>
      <c r="C49" s="149"/>
      <c r="D49" s="149"/>
      <c r="E49" s="149"/>
      <c r="F49" s="150"/>
      <c r="G49" s="150"/>
      <c r="H49" s="150"/>
      <c r="I49" s="151"/>
      <c r="J49" s="152"/>
      <c r="K49" s="114"/>
      <c r="L49" s="115"/>
      <c r="M49" s="116"/>
      <c r="N49" s="116"/>
      <c r="O49" s="105"/>
      <c r="P49" s="114"/>
      <c r="Q49" s="115"/>
      <c r="R49" s="116"/>
      <c r="S49" s="116"/>
      <c r="T49" s="105"/>
      <c r="U49" s="114"/>
      <c r="V49" s="115"/>
      <c r="W49" s="116"/>
      <c r="X49" s="116"/>
      <c r="Y49" s="105"/>
      <c r="Z49" s="114"/>
      <c r="AA49" s="115"/>
      <c r="AB49" s="116"/>
      <c r="AC49" s="116"/>
      <c r="AD49" s="105"/>
      <c r="AE49" s="114"/>
      <c r="AF49" s="115"/>
      <c r="AG49" s="116"/>
      <c r="AH49" s="116"/>
      <c r="AI49" s="105"/>
      <c r="AJ49" s="114"/>
      <c r="AK49" s="115"/>
      <c r="AL49" s="116"/>
      <c r="AM49" s="116"/>
      <c r="AN49" s="105"/>
      <c r="AO49" s="114"/>
      <c r="AP49" s="115"/>
      <c r="AQ49" s="116"/>
      <c r="AR49" s="116"/>
      <c r="AS49" s="105"/>
    </row>
    <row r="50" spans="2:45" x14ac:dyDescent="0.45">
      <c r="B50" s="177"/>
      <c r="C50" s="162" t="s">
        <v>64</v>
      </c>
      <c r="D50" s="163"/>
      <c r="E50" s="163"/>
      <c r="F50" s="166" t="s">
        <v>65</v>
      </c>
      <c r="G50" s="166"/>
      <c r="H50" s="166"/>
      <c r="I50" s="167"/>
      <c r="J50" s="140"/>
      <c r="K50" s="170">
        <f>年報!AO50</f>
        <v>0</v>
      </c>
      <c r="L50" s="172">
        <f>年報!AP50</f>
        <v>0</v>
      </c>
      <c r="M50" s="174">
        <f>年報!AQ50</f>
        <v>0</v>
      </c>
      <c r="N50" s="174">
        <f>年報!AR50</f>
        <v>0</v>
      </c>
      <c r="O50" s="145">
        <f>年報!AS50</f>
        <v>0</v>
      </c>
      <c r="P50" s="170">
        <f>年報!AT50</f>
        <v>0</v>
      </c>
      <c r="Q50" s="172">
        <f>年報!AU50</f>
        <v>0</v>
      </c>
      <c r="R50" s="174">
        <f>年報!AV50</f>
        <v>0</v>
      </c>
      <c r="S50" s="174">
        <f>年報!AW50</f>
        <v>0</v>
      </c>
      <c r="T50" s="145">
        <f>年報!AX50</f>
        <v>0</v>
      </c>
      <c r="U50" s="170">
        <f>年報!AY50</f>
        <v>0</v>
      </c>
      <c r="V50" s="172">
        <f>年報!AZ50</f>
        <v>0</v>
      </c>
      <c r="W50" s="174">
        <f>年報!BA50</f>
        <v>0</v>
      </c>
      <c r="X50" s="174">
        <f>年報!BB50</f>
        <v>0</v>
      </c>
      <c r="Y50" s="145">
        <f>年報!BC50</f>
        <v>0</v>
      </c>
      <c r="Z50" s="170">
        <f>年報!BD50</f>
        <v>0</v>
      </c>
      <c r="AA50" s="172">
        <f>年報!BE50</f>
        <v>0</v>
      </c>
      <c r="AB50" s="174">
        <f>年報!BF50</f>
        <v>0</v>
      </c>
      <c r="AC50" s="174">
        <f>年報!BG50</f>
        <v>0</v>
      </c>
      <c r="AD50" s="145">
        <f>年報!BH50</f>
        <v>0</v>
      </c>
      <c r="AE50" s="170">
        <f>年報!BI50</f>
        <v>0</v>
      </c>
      <c r="AF50" s="172">
        <f>年報!BJ50</f>
        <v>0</v>
      </c>
      <c r="AG50" s="174">
        <f>年報!BK50</f>
        <v>0</v>
      </c>
      <c r="AH50" s="174">
        <f>年報!BL50</f>
        <v>0</v>
      </c>
      <c r="AI50" s="145">
        <f>年報!BM50</f>
        <v>0</v>
      </c>
      <c r="AJ50" s="170">
        <f>年報!BN50</f>
        <v>0</v>
      </c>
      <c r="AK50" s="172">
        <f>年報!BO50</f>
        <v>0</v>
      </c>
      <c r="AL50" s="174">
        <f>年報!BP50</f>
        <v>0</v>
      </c>
      <c r="AM50" s="174">
        <f>年報!BQ50</f>
        <v>0</v>
      </c>
      <c r="AN50" s="145">
        <f>年報!BR50</f>
        <v>0</v>
      </c>
      <c r="AO50" s="170">
        <f>月報!R51</f>
        <v>0</v>
      </c>
      <c r="AP50" s="172">
        <f>月報!S51</f>
        <v>0</v>
      </c>
      <c r="AQ50" s="174">
        <f>月報!T51</f>
        <v>0</v>
      </c>
      <c r="AR50" s="174">
        <f>月報!U51</f>
        <v>0</v>
      </c>
      <c r="AS50" s="145">
        <f>月報!V51</f>
        <v>0</v>
      </c>
    </row>
    <row r="51" spans="2:45" x14ac:dyDescent="0.45">
      <c r="B51" s="177"/>
      <c r="C51" s="186"/>
      <c r="D51" s="187"/>
      <c r="E51" s="187"/>
      <c r="F51" s="184"/>
      <c r="G51" s="184"/>
      <c r="H51" s="184"/>
      <c r="I51" s="185"/>
      <c r="J51" s="141"/>
      <c r="K51" s="170"/>
      <c r="L51" s="172"/>
      <c r="M51" s="174"/>
      <c r="N51" s="174"/>
      <c r="O51" s="145"/>
      <c r="P51" s="170"/>
      <c r="Q51" s="172"/>
      <c r="R51" s="174"/>
      <c r="S51" s="174"/>
      <c r="T51" s="145"/>
      <c r="U51" s="170"/>
      <c r="V51" s="172"/>
      <c r="W51" s="174"/>
      <c r="X51" s="174"/>
      <c r="Y51" s="145"/>
      <c r="Z51" s="170"/>
      <c r="AA51" s="172"/>
      <c r="AB51" s="174"/>
      <c r="AC51" s="174"/>
      <c r="AD51" s="145"/>
      <c r="AE51" s="170"/>
      <c r="AF51" s="172"/>
      <c r="AG51" s="174"/>
      <c r="AH51" s="174"/>
      <c r="AI51" s="145"/>
      <c r="AJ51" s="170"/>
      <c r="AK51" s="172"/>
      <c r="AL51" s="174"/>
      <c r="AM51" s="174"/>
      <c r="AN51" s="145"/>
      <c r="AO51" s="170"/>
      <c r="AP51" s="172"/>
      <c r="AQ51" s="174"/>
      <c r="AR51" s="174"/>
      <c r="AS51" s="145"/>
    </row>
    <row r="52" spans="2:45" x14ac:dyDescent="0.45">
      <c r="B52" s="177"/>
      <c r="C52" s="182" t="s">
        <v>66</v>
      </c>
      <c r="D52" s="166"/>
      <c r="E52" s="166"/>
      <c r="F52" s="166" t="s">
        <v>67</v>
      </c>
      <c r="G52" s="166"/>
      <c r="H52" s="166"/>
      <c r="I52" s="167"/>
      <c r="J52" s="23"/>
      <c r="K52" s="170">
        <f>年報!AO52</f>
        <v>0</v>
      </c>
      <c r="L52" s="172">
        <f>年報!AP52</f>
        <v>0</v>
      </c>
      <c r="M52" s="174">
        <f>年報!AQ52</f>
        <v>0</v>
      </c>
      <c r="N52" s="174">
        <f>年報!AR52</f>
        <v>0</v>
      </c>
      <c r="O52" s="145">
        <f>年報!AS52</f>
        <v>0</v>
      </c>
      <c r="P52" s="170">
        <f>年報!AT52</f>
        <v>0</v>
      </c>
      <c r="Q52" s="172">
        <f>年報!AU52</f>
        <v>0</v>
      </c>
      <c r="R52" s="174">
        <f>年報!AV52</f>
        <v>0</v>
      </c>
      <c r="S52" s="174">
        <f>年報!AW52</f>
        <v>0</v>
      </c>
      <c r="T52" s="145">
        <f>年報!AX52</f>
        <v>0</v>
      </c>
      <c r="U52" s="170">
        <f>年報!AY52</f>
        <v>0</v>
      </c>
      <c r="V52" s="172">
        <f>年報!AZ52</f>
        <v>0</v>
      </c>
      <c r="W52" s="174">
        <f>年報!BA52</f>
        <v>0</v>
      </c>
      <c r="X52" s="174">
        <f>年報!BB52</f>
        <v>0</v>
      </c>
      <c r="Y52" s="145">
        <f>年報!BC52</f>
        <v>0</v>
      </c>
      <c r="Z52" s="170">
        <f>年報!BD52</f>
        <v>0</v>
      </c>
      <c r="AA52" s="172">
        <f>年報!BE52</f>
        <v>0</v>
      </c>
      <c r="AB52" s="174">
        <f>年報!BF52</f>
        <v>0</v>
      </c>
      <c r="AC52" s="174">
        <f>年報!BG52</f>
        <v>0</v>
      </c>
      <c r="AD52" s="145">
        <f>年報!BH52</f>
        <v>0</v>
      </c>
      <c r="AE52" s="170">
        <f>年報!BI52</f>
        <v>0</v>
      </c>
      <c r="AF52" s="172">
        <f>年報!BJ52</f>
        <v>0</v>
      </c>
      <c r="AG52" s="174">
        <f>年報!BK52</f>
        <v>0</v>
      </c>
      <c r="AH52" s="174">
        <f>年報!BL52</f>
        <v>0</v>
      </c>
      <c r="AI52" s="145">
        <f>年報!BM52</f>
        <v>0</v>
      </c>
      <c r="AJ52" s="170">
        <f>年報!BN52</f>
        <v>0</v>
      </c>
      <c r="AK52" s="172">
        <f>年報!BO52</f>
        <v>0</v>
      </c>
      <c r="AL52" s="174">
        <f>年報!BP52</f>
        <v>0</v>
      </c>
      <c r="AM52" s="174">
        <f>年報!BQ52</f>
        <v>0</v>
      </c>
      <c r="AN52" s="145">
        <f>年報!BR52</f>
        <v>0</v>
      </c>
      <c r="AO52" s="170">
        <f>月報!R53</f>
        <v>0</v>
      </c>
      <c r="AP52" s="172">
        <f>月報!S53</f>
        <v>0</v>
      </c>
      <c r="AQ52" s="174">
        <f>月報!T53</f>
        <v>0</v>
      </c>
      <c r="AR52" s="174">
        <f>月報!U53</f>
        <v>0</v>
      </c>
      <c r="AS52" s="145">
        <f>月報!V53</f>
        <v>0</v>
      </c>
    </row>
    <row r="53" spans="2:45" x14ac:dyDescent="0.45">
      <c r="B53" s="177"/>
      <c r="C53" s="183"/>
      <c r="D53" s="184"/>
      <c r="E53" s="184"/>
      <c r="F53" s="184"/>
      <c r="G53" s="184"/>
      <c r="H53" s="184"/>
      <c r="I53" s="185"/>
      <c r="J53" s="25"/>
      <c r="K53" s="170"/>
      <c r="L53" s="172"/>
      <c r="M53" s="174"/>
      <c r="N53" s="174"/>
      <c r="O53" s="145"/>
      <c r="P53" s="170"/>
      <c r="Q53" s="172"/>
      <c r="R53" s="174"/>
      <c r="S53" s="174"/>
      <c r="T53" s="145"/>
      <c r="U53" s="170"/>
      <c r="V53" s="172"/>
      <c r="W53" s="174"/>
      <c r="X53" s="174"/>
      <c r="Y53" s="145"/>
      <c r="Z53" s="170"/>
      <c r="AA53" s="172"/>
      <c r="AB53" s="174"/>
      <c r="AC53" s="174"/>
      <c r="AD53" s="145"/>
      <c r="AE53" s="170"/>
      <c r="AF53" s="172"/>
      <c r="AG53" s="174"/>
      <c r="AH53" s="174"/>
      <c r="AI53" s="145"/>
      <c r="AJ53" s="170"/>
      <c r="AK53" s="172"/>
      <c r="AL53" s="174"/>
      <c r="AM53" s="174"/>
      <c r="AN53" s="145"/>
      <c r="AO53" s="170"/>
      <c r="AP53" s="172"/>
      <c r="AQ53" s="174"/>
      <c r="AR53" s="174"/>
      <c r="AS53" s="145"/>
    </row>
    <row r="54" spans="2:45" x14ac:dyDescent="0.45">
      <c r="B54" s="177"/>
      <c r="C54" s="162" t="s">
        <v>68</v>
      </c>
      <c r="D54" s="163"/>
      <c r="E54" s="163"/>
      <c r="F54" s="166" t="s">
        <v>69</v>
      </c>
      <c r="G54" s="166"/>
      <c r="H54" s="166"/>
      <c r="I54" s="167"/>
      <c r="J54" s="33"/>
      <c r="K54" s="170">
        <f>年報!AO54</f>
        <v>0</v>
      </c>
      <c r="L54" s="172">
        <f>年報!AP54</f>
        <v>0</v>
      </c>
      <c r="M54" s="174">
        <f>年報!AQ54</f>
        <v>0</v>
      </c>
      <c r="N54" s="174">
        <f>年報!AR54</f>
        <v>0</v>
      </c>
      <c r="O54" s="145">
        <f>年報!AS54</f>
        <v>0</v>
      </c>
      <c r="P54" s="170">
        <f>年報!AT54</f>
        <v>0</v>
      </c>
      <c r="Q54" s="172">
        <f>年報!AU54</f>
        <v>0</v>
      </c>
      <c r="R54" s="174">
        <f>年報!AV54</f>
        <v>0</v>
      </c>
      <c r="S54" s="174">
        <f>年報!AW54</f>
        <v>0</v>
      </c>
      <c r="T54" s="145">
        <f>年報!AX54</f>
        <v>0</v>
      </c>
      <c r="U54" s="170">
        <f>年報!AY54</f>
        <v>0</v>
      </c>
      <c r="V54" s="172">
        <f>年報!AZ54</f>
        <v>0</v>
      </c>
      <c r="W54" s="174">
        <f>年報!BA54</f>
        <v>0</v>
      </c>
      <c r="X54" s="174">
        <f>年報!BB54</f>
        <v>0</v>
      </c>
      <c r="Y54" s="145">
        <f>年報!BC54</f>
        <v>0</v>
      </c>
      <c r="Z54" s="170">
        <f>年報!BD54</f>
        <v>0</v>
      </c>
      <c r="AA54" s="172">
        <f>年報!BE54</f>
        <v>0</v>
      </c>
      <c r="AB54" s="174">
        <f>年報!BF54</f>
        <v>0</v>
      </c>
      <c r="AC54" s="174">
        <f>年報!BG54</f>
        <v>0</v>
      </c>
      <c r="AD54" s="145">
        <f>年報!BH54</f>
        <v>0</v>
      </c>
      <c r="AE54" s="170">
        <f>年報!BI54</f>
        <v>0</v>
      </c>
      <c r="AF54" s="172">
        <f>年報!BJ54</f>
        <v>0</v>
      </c>
      <c r="AG54" s="174">
        <f>年報!BK54</f>
        <v>0</v>
      </c>
      <c r="AH54" s="174">
        <f>年報!BL54</f>
        <v>0</v>
      </c>
      <c r="AI54" s="145">
        <f>年報!BM54</f>
        <v>0</v>
      </c>
      <c r="AJ54" s="170">
        <f>年報!BN54</f>
        <v>0</v>
      </c>
      <c r="AK54" s="172">
        <f>年報!BO54</f>
        <v>0</v>
      </c>
      <c r="AL54" s="174">
        <f>年報!BP54</f>
        <v>0</v>
      </c>
      <c r="AM54" s="174">
        <f>年報!BQ54</f>
        <v>0</v>
      </c>
      <c r="AN54" s="145">
        <f>年報!BR54</f>
        <v>0</v>
      </c>
      <c r="AO54" s="170">
        <f>月報!R55</f>
        <v>0</v>
      </c>
      <c r="AP54" s="172">
        <f>月報!S55</f>
        <v>0</v>
      </c>
      <c r="AQ54" s="174">
        <f>月報!T55</f>
        <v>0</v>
      </c>
      <c r="AR54" s="174">
        <f>月報!U55</f>
        <v>0</v>
      </c>
      <c r="AS54" s="145">
        <f>月報!V55</f>
        <v>0</v>
      </c>
    </row>
    <row r="55" spans="2:45" ht="15.6" thickBot="1" x14ac:dyDescent="0.5">
      <c r="B55" s="178"/>
      <c r="C55" s="164"/>
      <c r="D55" s="165"/>
      <c r="E55" s="165"/>
      <c r="F55" s="168"/>
      <c r="G55" s="168"/>
      <c r="H55" s="168"/>
      <c r="I55" s="169"/>
      <c r="J55" s="34"/>
      <c r="K55" s="171"/>
      <c r="L55" s="173"/>
      <c r="M55" s="175"/>
      <c r="N55" s="175"/>
      <c r="O55" s="146"/>
      <c r="P55" s="171"/>
      <c r="Q55" s="173"/>
      <c r="R55" s="175"/>
      <c r="S55" s="175"/>
      <c r="T55" s="146"/>
      <c r="U55" s="171"/>
      <c r="V55" s="173"/>
      <c r="W55" s="175"/>
      <c r="X55" s="175"/>
      <c r="Y55" s="146"/>
      <c r="Z55" s="171"/>
      <c r="AA55" s="173"/>
      <c r="AB55" s="175"/>
      <c r="AC55" s="175"/>
      <c r="AD55" s="146"/>
      <c r="AE55" s="171"/>
      <c r="AF55" s="173"/>
      <c r="AG55" s="175"/>
      <c r="AH55" s="175"/>
      <c r="AI55" s="146"/>
      <c r="AJ55" s="171"/>
      <c r="AK55" s="173"/>
      <c r="AL55" s="175"/>
      <c r="AM55" s="175"/>
      <c r="AN55" s="146"/>
      <c r="AO55" s="171"/>
      <c r="AP55" s="173"/>
      <c r="AQ55" s="175"/>
      <c r="AR55" s="175"/>
      <c r="AS55" s="146"/>
    </row>
    <row r="56" spans="2:45" x14ac:dyDescent="0.45">
      <c r="B56" s="128" t="s">
        <v>70</v>
      </c>
      <c r="C56" s="153" t="s">
        <v>71</v>
      </c>
      <c r="D56" s="154"/>
      <c r="E56" s="155" t="s">
        <v>72</v>
      </c>
      <c r="F56" s="156"/>
      <c r="G56" s="156"/>
      <c r="H56" s="156"/>
      <c r="I56" s="157"/>
      <c r="J56" s="158" t="s">
        <v>73</v>
      </c>
      <c r="K56" s="159">
        <f>年報!AO56</f>
        <v>0</v>
      </c>
      <c r="L56" s="160">
        <f>年報!AP56</f>
        <v>0</v>
      </c>
      <c r="M56" s="161">
        <f>年報!AQ56</f>
        <v>0</v>
      </c>
      <c r="N56" s="161">
        <f>年報!AR56</f>
        <v>0</v>
      </c>
      <c r="O56" s="148">
        <f>年報!AS56</f>
        <v>0</v>
      </c>
      <c r="P56" s="159">
        <f>年報!AT56</f>
        <v>0</v>
      </c>
      <c r="Q56" s="160">
        <f>年報!AU56</f>
        <v>0</v>
      </c>
      <c r="R56" s="161">
        <f>年報!AV56</f>
        <v>0</v>
      </c>
      <c r="S56" s="161">
        <f>年報!AW56</f>
        <v>0</v>
      </c>
      <c r="T56" s="148">
        <f>年報!AX56</f>
        <v>0</v>
      </c>
      <c r="U56" s="159">
        <f>年報!AY56</f>
        <v>0</v>
      </c>
      <c r="V56" s="160">
        <f>年報!AZ56</f>
        <v>0</v>
      </c>
      <c r="W56" s="161">
        <f>年報!BA56</f>
        <v>0</v>
      </c>
      <c r="X56" s="161">
        <f>年報!BB56</f>
        <v>0</v>
      </c>
      <c r="Y56" s="148">
        <f>年報!BC56</f>
        <v>0</v>
      </c>
      <c r="Z56" s="159">
        <f>年報!BD56</f>
        <v>0</v>
      </c>
      <c r="AA56" s="160">
        <f>年報!BE56</f>
        <v>0</v>
      </c>
      <c r="AB56" s="161">
        <f>年報!BF56</f>
        <v>0</v>
      </c>
      <c r="AC56" s="161">
        <f>年報!BG56</f>
        <v>0</v>
      </c>
      <c r="AD56" s="148">
        <f>年報!BH56</f>
        <v>0</v>
      </c>
      <c r="AE56" s="159">
        <f>年報!BI56</f>
        <v>0</v>
      </c>
      <c r="AF56" s="160">
        <f>年報!BJ56</f>
        <v>0</v>
      </c>
      <c r="AG56" s="161">
        <f>年報!BK56</f>
        <v>0</v>
      </c>
      <c r="AH56" s="161">
        <f>年報!BL56</f>
        <v>0</v>
      </c>
      <c r="AI56" s="148">
        <f>年報!BM56</f>
        <v>0</v>
      </c>
      <c r="AJ56" s="159">
        <f>年報!BN56</f>
        <v>0</v>
      </c>
      <c r="AK56" s="160">
        <f>年報!BO56</f>
        <v>0</v>
      </c>
      <c r="AL56" s="161">
        <f>年報!BP56</f>
        <v>0</v>
      </c>
      <c r="AM56" s="161">
        <f>年報!BQ56</f>
        <v>0</v>
      </c>
      <c r="AN56" s="148">
        <f>年報!BR56</f>
        <v>0</v>
      </c>
      <c r="AO56" s="159">
        <f>月報!R57</f>
        <v>0</v>
      </c>
      <c r="AP56" s="160">
        <f>月報!S57</f>
        <v>0</v>
      </c>
      <c r="AQ56" s="161">
        <f>月報!T57</f>
        <v>0</v>
      </c>
      <c r="AR56" s="161">
        <f>月報!U57</f>
        <v>0</v>
      </c>
      <c r="AS56" s="148">
        <f>月報!V57</f>
        <v>0</v>
      </c>
    </row>
    <row r="57" spans="2:45" x14ac:dyDescent="0.45">
      <c r="B57" s="129"/>
      <c r="C57" s="120"/>
      <c r="D57" s="121"/>
      <c r="E57" s="125"/>
      <c r="F57" s="126"/>
      <c r="G57" s="126"/>
      <c r="H57" s="126"/>
      <c r="I57" s="127"/>
      <c r="J57" s="141"/>
      <c r="K57" s="114"/>
      <c r="L57" s="115"/>
      <c r="M57" s="116"/>
      <c r="N57" s="116"/>
      <c r="O57" s="105"/>
      <c r="P57" s="114"/>
      <c r="Q57" s="115"/>
      <c r="R57" s="116"/>
      <c r="S57" s="116"/>
      <c r="T57" s="105"/>
      <c r="U57" s="114"/>
      <c r="V57" s="115"/>
      <c r="W57" s="116"/>
      <c r="X57" s="116"/>
      <c r="Y57" s="105"/>
      <c r="Z57" s="114"/>
      <c r="AA57" s="115"/>
      <c r="AB57" s="116"/>
      <c r="AC57" s="116"/>
      <c r="AD57" s="105"/>
      <c r="AE57" s="114"/>
      <c r="AF57" s="115"/>
      <c r="AG57" s="116"/>
      <c r="AH57" s="116"/>
      <c r="AI57" s="105"/>
      <c r="AJ57" s="114"/>
      <c r="AK57" s="115"/>
      <c r="AL57" s="116"/>
      <c r="AM57" s="116"/>
      <c r="AN57" s="105"/>
      <c r="AO57" s="114"/>
      <c r="AP57" s="115"/>
      <c r="AQ57" s="116"/>
      <c r="AR57" s="116"/>
      <c r="AS57" s="105"/>
    </row>
    <row r="58" spans="2:45" x14ac:dyDescent="0.45">
      <c r="B58" s="129"/>
      <c r="C58" s="132" t="s">
        <v>74</v>
      </c>
      <c r="D58" s="133"/>
      <c r="E58" s="134" t="s">
        <v>75</v>
      </c>
      <c r="F58" s="135"/>
      <c r="G58" s="135"/>
      <c r="H58" s="135"/>
      <c r="I58" s="136"/>
      <c r="J58" s="140" t="s">
        <v>48</v>
      </c>
      <c r="K58" s="114">
        <f>年報!AO58</f>
        <v>0</v>
      </c>
      <c r="L58" s="115">
        <f>年報!AP58</f>
        <v>0</v>
      </c>
      <c r="M58" s="116">
        <f>年報!AQ58</f>
        <v>0</v>
      </c>
      <c r="N58" s="116">
        <f>年報!AR58</f>
        <v>0</v>
      </c>
      <c r="O58" s="105">
        <f>年報!AS58</f>
        <v>0</v>
      </c>
      <c r="P58" s="114">
        <f>年報!AT58</f>
        <v>0</v>
      </c>
      <c r="Q58" s="115">
        <f>年報!AU58</f>
        <v>0</v>
      </c>
      <c r="R58" s="116">
        <f>年報!AV58</f>
        <v>0</v>
      </c>
      <c r="S58" s="116">
        <f>年報!AW58</f>
        <v>0</v>
      </c>
      <c r="T58" s="105">
        <f>年報!AX58</f>
        <v>0</v>
      </c>
      <c r="U58" s="114">
        <f>年報!AY58</f>
        <v>0</v>
      </c>
      <c r="V58" s="115">
        <f>年報!AZ58</f>
        <v>0</v>
      </c>
      <c r="W58" s="116">
        <f>年報!BA58</f>
        <v>0</v>
      </c>
      <c r="X58" s="116">
        <f>年報!BB58</f>
        <v>0</v>
      </c>
      <c r="Y58" s="105">
        <f>年報!BC58</f>
        <v>0</v>
      </c>
      <c r="Z58" s="114">
        <f>年報!BD58</f>
        <v>0</v>
      </c>
      <c r="AA58" s="115">
        <f>年報!BE58</f>
        <v>0</v>
      </c>
      <c r="AB58" s="116">
        <f>年報!BF58</f>
        <v>0</v>
      </c>
      <c r="AC58" s="116">
        <f>年報!BG58</f>
        <v>0</v>
      </c>
      <c r="AD58" s="105">
        <f>年報!BH58</f>
        <v>0</v>
      </c>
      <c r="AE58" s="114">
        <f>年報!BI58</f>
        <v>0</v>
      </c>
      <c r="AF58" s="115">
        <f>年報!BJ58</f>
        <v>0</v>
      </c>
      <c r="AG58" s="116">
        <f>年報!BK58</f>
        <v>0</v>
      </c>
      <c r="AH58" s="116">
        <f>年報!BL58</f>
        <v>0</v>
      </c>
      <c r="AI58" s="105">
        <f>年報!BM58</f>
        <v>0</v>
      </c>
      <c r="AJ58" s="114">
        <f>年報!BN58</f>
        <v>0</v>
      </c>
      <c r="AK58" s="115">
        <f>年報!BO58</f>
        <v>0</v>
      </c>
      <c r="AL58" s="116">
        <f>年報!BP58</f>
        <v>0</v>
      </c>
      <c r="AM58" s="116">
        <f>年報!BQ58</f>
        <v>0</v>
      </c>
      <c r="AN58" s="105">
        <f>年報!BR58</f>
        <v>0</v>
      </c>
      <c r="AO58" s="114">
        <f>月報!R59</f>
        <v>0</v>
      </c>
      <c r="AP58" s="115">
        <f>月報!S59</f>
        <v>0</v>
      </c>
      <c r="AQ58" s="116">
        <f>月報!T59</f>
        <v>0</v>
      </c>
      <c r="AR58" s="116">
        <f>月報!U59</f>
        <v>0</v>
      </c>
      <c r="AS58" s="105">
        <f>月報!V59</f>
        <v>0</v>
      </c>
    </row>
    <row r="59" spans="2:45" x14ac:dyDescent="0.45">
      <c r="B59" s="129"/>
      <c r="C59" s="132"/>
      <c r="D59" s="133"/>
      <c r="E59" s="137"/>
      <c r="F59" s="138"/>
      <c r="G59" s="138"/>
      <c r="H59" s="138"/>
      <c r="I59" s="139"/>
      <c r="J59" s="141"/>
      <c r="K59" s="114"/>
      <c r="L59" s="115"/>
      <c r="M59" s="116"/>
      <c r="N59" s="116"/>
      <c r="O59" s="105"/>
      <c r="P59" s="114"/>
      <c r="Q59" s="115"/>
      <c r="R59" s="116"/>
      <c r="S59" s="116"/>
      <c r="T59" s="105"/>
      <c r="U59" s="114"/>
      <c r="V59" s="115"/>
      <c r="W59" s="116"/>
      <c r="X59" s="116"/>
      <c r="Y59" s="105"/>
      <c r="Z59" s="114"/>
      <c r="AA59" s="115"/>
      <c r="AB59" s="116"/>
      <c r="AC59" s="116"/>
      <c r="AD59" s="105"/>
      <c r="AE59" s="114"/>
      <c r="AF59" s="115"/>
      <c r="AG59" s="116"/>
      <c r="AH59" s="116"/>
      <c r="AI59" s="105"/>
      <c r="AJ59" s="114"/>
      <c r="AK59" s="115"/>
      <c r="AL59" s="116"/>
      <c r="AM59" s="116"/>
      <c r="AN59" s="105"/>
      <c r="AO59" s="114"/>
      <c r="AP59" s="115"/>
      <c r="AQ59" s="116"/>
      <c r="AR59" s="116"/>
      <c r="AS59" s="105"/>
    </row>
    <row r="60" spans="2:45" x14ac:dyDescent="0.45">
      <c r="B60" s="129"/>
      <c r="C60" s="132"/>
      <c r="D60" s="133"/>
      <c r="E60" s="122" t="s">
        <v>76</v>
      </c>
      <c r="F60" s="123"/>
      <c r="G60" s="123"/>
      <c r="H60" s="123"/>
      <c r="I60" s="124"/>
      <c r="J60" s="35"/>
      <c r="K60" s="114">
        <f>年報!AO60</f>
        <v>0</v>
      </c>
      <c r="L60" s="115">
        <f>年報!AP60</f>
        <v>0</v>
      </c>
      <c r="M60" s="116">
        <f>年報!AQ60</f>
        <v>0</v>
      </c>
      <c r="N60" s="116">
        <f>年報!AR60</f>
        <v>0</v>
      </c>
      <c r="O60" s="105">
        <f>年報!AS60</f>
        <v>0</v>
      </c>
      <c r="P60" s="114">
        <f>年報!AT60</f>
        <v>0</v>
      </c>
      <c r="Q60" s="115">
        <f>年報!AU60</f>
        <v>0</v>
      </c>
      <c r="R60" s="116">
        <f>年報!AV60</f>
        <v>0</v>
      </c>
      <c r="S60" s="116">
        <f>年報!AW60</f>
        <v>0</v>
      </c>
      <c r="T60" s="105">
        <f>年報!AX60</f>
        <v>0</v>
      </c>
      <c r="U60" s="114">
        <f>年報!AY60</f>
        <v>0</v>
      </c>
      <c r="V60" s="115">
        <f>年報!AZ60</f>
        <v>0</v>
      </c>
      <c r="W60" s="116">
        <f>年報!BA60</f>
        <v>0</v>
      </c>
      <c r="X60" s="116">
        <f>年報!BB60</f>
        <v>0</v>
      </c>
      <c r="Y60" s="105">
        <f>年報!BC60</f>
        <v>0</v>
      </c>
      <c r="Z60" s="114">
        <f>年報!BD60</f>
        <v>0</v>
      </c>
      <c r="AA60" s="115">
        <f>年報!BE60</f>
        <v>0</v>
      </c>
      <c r="AB60" s="116">
        <f>年報!BF60</f>
        <v>0</v>
      </c>
      <c r="AC60" s="116">
        <f>年報!BG60</f>
        <v>0</v>
      </c>
      <c r="AD60" s="105">
        <f>年報!BH60</f>
        <v>0</v>
      </c>
      <c r="AE60" s="114">
        <f>年報!BI60</f>
        <v>0</v>
      </c>
      <c r="AF60" s="115">
        <f>年報!BJ60</f>
        <v>0</v>
      </c>
      <c r="AG60" s="116">
        <f>年報!BK60</f>
        <v>0</v>
      </c>
      <c r="AH60" s="116">
        <f>年報!BL60</f>
        <v>0</v>
      </c>
      <c r="AI60" s="105">
        <f>年報!BM60</f>
        <v>0</v>
      </c>
      <c r="AJ60" s="114">
        <f>年報!BN60</f>
        <v>0</v>
      </c>
      <c r="AK60" s="115">
        <f>年報!BO60</f>
        <v>0</v>
      </c>
      <c r="AL60" s="116">
        <f>年報!BP60</f>
        <v>0</v>
      </c>
      <c r="AM60" s="116">
        <f>年報!BQ60</f>
        <v>0</v>
      </c>
      <c r="AN60" s="105">
        <f>年報!BR60</f>
        <v>0</v>
      </c>
      <c r="AO60" s="114">
        <f>月報!R61</f>
        <v>0</v>
      </c>
      <c r="AP60" s="115">
        <f>月報!S61</f>
        <v>0</v>
      </c>
      <c r="AQ60" s="116">
        <f>月報!T61</f>
        <v>0</v>
      </c>
      <c r="AR60" s="116">
        <f>月報!U61</f>
        <v>0</v>
      </c>
      <c r="AS60" s="105">
        <f>月報!V61</f>
        <v>0</v>
      </c>
    </row>
    <row r="61" spans="2:45" x14ac:dyDescent="0.45">
      <c r="B61" s="129"/>
      <c r="C61" s="120"/>
      <c r="D61" s="121"/>
      <c r="E61" s="125"/>
      <c r="F61" s="126"/>
      <c r="G61" s="126"/>
      <c r="H61" s="126"/>
      <c r="I61" s="127"/>
      <c r="J61" s="36"/>
      <c r="K61" s="114"/>
      <c r="L61" s="115"/>
      <c r="M61" s="116"/>
      <c r="N61" s="116"/>
      <c r="O61" s="105"/>
      <c r="P61" s="114"/>
      <c r="Q61" s="115"/>
      <c r="R61" s="116"/>
      <c r="S61" s="116"/>
      <c r="T61" s="105"/>
      <c r="U61" s="114"/>
      <c r="V61" s="115"/>
      <c r="W61" s="116"/>
      <c r="X61" s="116"/>
      <c r="Y61" s="105"/>
      <c r="Z61" s="114"/>
      <c r="AA61" s="115"/>
      <c r="AB61" s="116"/>
      <c r="AC61" s="116"/>
      <c r="AD61" s="105"/>
      <c r="AE61" s="114"/>
      <c r="AF61" s="115"/>
      <c r="AG61" s="116"/>
      <c r="AH61" s="116"/>
      <c r="AI61" s="105"/>
      <c r="AJ61" s="114"/>
      <c r="AK61" s="115"/>
      <c r="AL61" s="116"/>
      <c r="AM61" s="116"/>
      <c r="AN61" s="105"/>
      <c r="AO61" s="114"/>
      <c r="AP61" s="115"/>
      <c r="AQ61" s="116"/>
      <c r="AR61" s="116"/>
      <c r="AS61" s="105"/>
    </row>
    <row r="62" spans="2:45" x14ac:dyDescent="0.45">
      <c r="B62" s="129"/>
      <c r="C62" s="118" t="s">
        <v>77</v>
      </c>
      <c r="D62" s="119"/>
      <c r="E62" s="122" t="s">
        <v>78</v>
      </c>
      <c r="F62" s="123"/>
      <c r="G62" s="123"/>
      <c r="H62" s="123"/>
      <c r="I62" s="124"/>
      <c r="J62" s="35"/>
      <c r="K62" s="114">
        <f>年報!AO62</f>
        <v>0</v>
      </c>
      <c r="L62" s="115">
        <f>年報!AP62</f>
        <v>0</v>
      </c>
      <c r="M62" s="116">
        <f>年報!AQ62</f>
        <v>0</v>
      </c>
      <c r="N62" s="116">
        <f>年報!AR62</f>
        <v>0</v>
      </c>
      <c r="O62" s="105">
        <f>年報!AS62</f>
        <v>0</v>
      </c>
      <c r="P62" s="114">
        <f>年報!AT62</f>
        <v>0</v>
      </c>
      <c r="Q62" s="115">
        <f>年報!AU62</f>
        <v>0</v>
      </c>
      <c r="R62" s="116">
        <f>年報!AV62</f>
        <v>0</v>
      </c>
      <c r="S62" s="116">
        <f>年報!AW62</f>
        <v>0</v>
      </c>
      <c r="T62" s="105">
        <f>年報!AX62</f>
        <v>0</v>
      </c>
      <c r="U62" s="114">
        <f>年報!AY62</f>
        <v>0</v>
      </c>
      <c r="V62" s="115">
        <f>年報!AZ62</f>
        <v>0</v>
      </c>
      <c r="W62" s="116">
        <f>年報!BA62</f>
        <v>0</v>
      </c>
      <c r="X62" s="116">
        <f>年報!BB62</f>
        <v>0</v>
      </c>
      <c r="Y62" s="105">
        <f>年報!BC62</f>
        <v>0</v>
      </c>
      <c r="Z62" s="114">
        <f>年報!BD62</f>
        <v>0</v>
      </c>
      <c r="AA62" s="115">
        <f>年報!BE62</f>
        <v>0</v>
      </c>
      <c r="AB62" s="116">
        <f>年報!BF62</f>
        <v>0</v>
      </c>
      <c r="AC62" s="116">
        <f>年報!BG62</f>
        <v>0</v>
      </c>
      <c r="AD62" s="105">
        <f>年報!BH62</f>
        <v>0</v>
      </c>
      <c r="AE62" s="114">
        <f>年報!BI62</f>
        <v>0</v>
      </c>
      <c r="AF62" s="115">
        <f>年報!BJ62</f>
        <v>0</v>
      </c>
      <c r="AG62" s="116">
        <f>年報!BK62</f>
        <v>0</v>
      </c>
      <c r="AH62" s="116">
        <f>年報!BL62</f>
        <v>0</v>
      </c>
      <c r="AI62" s="105">
        <f>年報!BM62</f>
        <v>0</v>
      </c>
      <c r="AJ62" s="114">
        <f>年報!BN62</f>
        <v>0</v>
      </c>
      <c r="AK62" s="115">
        <f>年報!BO62</f>
        <v>0</v>
      </c>
      <c r="AL62" s="116">
        <f>年報!BP62</f>
        <v>0</v>
      </c>
      <c r="AM62" s="116">
        <f>年報!BQ62</f>
        <v>0</v>
      </c>
      <c r="AN62" s="105">
        <f>年報!BR62</f>
        <v>0</v>
      </c>
      <c r="AO62" s="114">
        <f>月報!R63</f>
        <v>0</v>
      </c>
      <c r="AP62" s="115">
        <f>月報!S63</f>
        <v>0</v>
      </c>
      <c r="AQ62" s="116">
        <f>月報!T63</f>
        <v>0</v>
      </c>
      <c r="AR62" s="116">
        <f>月報!U63</f>
        <v>0</v>
      </c>
      <c r="AS62" s="105">
        <f>月報!V63</f>
        <v>0</v>
      </c>
    </row>
    <row r="63" spans="2:45" x14ac:dyDescent="0.45">
      <c r="B63" s="129"/>
      <c r="C63" s="120"/>
      <c r="D63" s="121"/>
      <c r="E63" s="125"/>
      <c r="F63" s="126"/>
      <c r="G63" s="126"/>
      <c r="H63" s="126"/>
      <c r="I63" s="127"/>
      <c r="J63" s="36"/>
      <c r="K63" s="114"/>
      <c r="L63" s="115"/>
      <c r="M63" s="116"/>
      <c r="N63" s="116"/>
      <c r="O63" s="105"/>
      <c r="P63" s="114"/>
      <c r="Q63" s="115"/>
      <c r="R63" s="116"/>
      <c r="S63" s="116"/>
      <c r="T63" s="105"/>
      <c r="U63" s="114"/>
      <c r="V63" s="115"/>
      <c r="W63" s="116"/>
      <c r="X63" s="116"/>
      <c r="Y63" s="105"/>
      <c r="Z63" s="114"/>
      <c r="AA63" s="115"/>
      <c r="AB63" s="116"/>
      <c r="AC63" s="116"/>
      <c r="AD63" s="105"/>
      <c r="AE63" s="114"/>
      <c r="AF63" s="115"/>
      <c r="AG63" s="116"/>
      <c r="AH63" s="116"/>
      <c r="AI63" s="105"/>
      <c r="AJ63" s="114"/>
      <c r="AK63" s="115"/>
      <c r="AL63" s="116"/>
      <c r="AM63" s="116"/>
      <c r="AN63" s="105"/>
      <c r="AO63" s="114"/>
      <c r="AP63" s="115"/>
      <c r="AQ63" s="116"/>
      <c r="AR63" s="116"/>
      <c r="AS63" s="105"/>
    </row>
    <row r="64" spans="2:45" x14ac:dyDescent="0.45">
      <c r="B64" s="130"/>
      <c r="C64" s="106" t="s">
        <v>61</v>
      </c>
      <c r="D64" s="106"/>
      <c r="E64" s="106"/>
      <c r="F64" s="108"/>
      <c r="G64" s="108"/>
      <c r="H64" s="108"/>
      <c r="I64" s="109"/>
      <c r="J64" s="112" t="s">
        <v>79</v>
      </c>
      <c r="K64" s="114">
        <f>年報!AO64</f>
        <v>0</v>
      </c>
      <c r="L64" s="115">
        <f>年報!AP64</f>
        <v>0</v>
      </c>
      <c r="M64" s="116">
        <f>年報!AQ64</f>
        <v>0</v>
      </c>
      <c r="N64" s="116">
        <f>年報!AR64</f>
        <v>0</v>
      </c>
      <c r="O64" s="105">
        <f>年報!AS64</f>
        <v>0</v>
      </c>
      <c r="P64" s="114">
        <f>年報!AT64</f>
        <v>0</v>
      </c>
      <c r="Q64" s="115">
        <f>年報!AU64</f>
        <v>0</v>
      </c>
      <c r="R64" s="116">
        <f>年報!AV64</f>
        <v>0</v>
      </c>
      <c r="S64" s="116">
        <f>年報!AW64</f>
        <v>0</v>
      </c>
      <c r="T64" s="105">
        <f>年報!AX64</f>
        <v>0</v>
      </c>
      <c r="U64" s="114">
        <f>年報!AY64</f>
        <v>0</v>
      </c>
      <c r="V64" s="115">
        <f>年報!AZ64</f>
        <v>0</v>
      </c>
      <c r="W64" s="116">
        <f>年報!BA64</f>
        <v>0</v>
      </c>
      <c r="X64" s="116">
        <f>年報!BB64</f>
        <v>0</v>
      </c>
      <c r="Y64" s="105">
        <f>年報!BC64</f>
        <v>0</v>
      </c>
      <c r="Z64" s="114">
        <f>年報!BD64</f>
        <v>0</v>
      </c>
      <c r="AA64" s="115">
        <f>年報!BE64</f>
        <v>0</v>
      </c>
      <c r="AB64" s="116">
        <f>年報!BF64</f>
        <v>0</v>
      </c>
      <c r="AC64" s="116">
        <f>年報!BG64</f>
        <v>0</v>
      </c>
      <c r="AD64" s="105">
        <f>年報!BH64</f>
        <v>0</v>
      </c>
      <c r="AE64" s="114">
        <f>年報!BI64</f>
        <v>0</v>
      </c>
      <c r="AF64" s="115">
        <f>年報!BJ64</f>
        <v>0</v>
      </c>
      <c r="AG64" s="116">
        <f>年報!BK64</f>
        <v>0</v>
      </c>
      <c r="AH64" s="116">
        <f>年報!BL64</f>
        <v>0</v>
      </c>
      <c r="AI64" s="105">
        <f>年報!BM64</f>
        <v>0</v>
      </c>
      <c r="AJ64" s="114">
        <f>年報!BN64</f>
        <v>0</v>
      </c>
      <c r="AK64" s="115">
        <f>年報!BO64</f>
        <v>0</v>
      </c>
      <c r="AL64" s="116">
        <f>年報!BP64</f>
        <v>0</v>
      </c>
      <c r="AM64" s="116">
        <f>年報!BQ64</f>
        <v>0</v>
      </c>
      <c r="AN64" s="105">
        <f>年報!BR64</f>
        <v>0</v>
      </c>
      <c r="AO64" s="114">
        <f>月報!R65</f>
        <v>0</v>
      </c>
      <c r="AP64" s="115">
        <f>月報!S65</f>
        <v>0</v>
      </c>
      <c r="AQ64" s="116">
        <f>月報!T65</f>
        <v>0</v>
      </c>
      <c r="AR64" s="116">
        <f>月報!U65</f>
        <v>0</v>
      </c>
      <c r="AS64" s="105">
        <f>月報!V65</f>
        <v>0</v>
      </c>
    </row>
    <row r="65" spans="2:45" ht="15.6" thickBot="1" x14ac:dyDescent="0.5">
      <c r="B65" s="131"/>
      <c r="C65" s="107"/>
      <c r="D65" s="107"/>
      <c r="E65" s="107"/>
      <c r="F65" s="110"/>
      <c r="G65" s="110"/>
      <c r="H65" s="110"/>
      <c r="I65" s="111"/>
      <c r="J65" s="113"/>
      <c r="K65" s="100"/>
      <c r="L65" s="102"/>
      <c r="M65" s="104"/>
      <c r="N65" s="104"/>
      <c r="O65" s="117"/>
      <c r="P65" s="100"/>
      <c r="Q65" s="102"/>
      <c r="R65" s="104"/>
      <c r="S65" s="104"/>
      <c r="T65" s="117"/>
      <c r="U65" s="100"/>
      <c r="V65" s="102"/>
      <c r="W65" s="104"/>
      <c r="X65" s="104"/>
      <c r="Y65" s="117"/>
      <c r="Z65" s="100"/>
      <c r="AA65" s="102"/>
      <c r="AB65" s="104"/>
      <c r="AC65" s="104"/>
      <c r="AD65" s="117"/>
      <c r="AE65" s="100"/>
      <c r="AF65" s="102"/>
      <c r="AG65" s="104"/>
      <c r="AH65" s="104"/>
      <c r="AI65" s="117"/>
      <c r="AJ65" s="100"/>
      <c r="AK65" s="102"/>
      <c r="AL65" s="104"/>
      <c r="AM65" s="104"/>
      <c r="AN65" s="117"/>
      <c r="AO65" s="100"/>
      <c r="AP65" s="102"/>
      <c r="AQ65" s="104"/>
      <c r="AR65" s="104"/>
      <c r="AS65" s="117"/>
    </row>
    <row r="66" spans="2:45" x14ac:dyDescent="0.45">
      <c r="B66" s="92" t="s">
        <v>26</v>
      </c>
      <c r="C66" s="94" t="s">
        <v>80</v>
      </c>
      <c r="D66" s="95"/>
      <c r="E66" s="95"/>
      <c r="F66" s="96"/>
      <c r="G66" s="96"/>
      <c r="H66" s="96"/>
      <c r="I66" s="96"/>
      <c r="J66" s="52"/>
      <c r="K66" s="99">
        <f>年報!AO66</f>
        <v>0</v>
      </c>
      <c r="L66" s="101">
        <f>年報!AP66</f>
        <v>0</v>
      </c>
      <c r="M66" s="103">
        <f>年報!AQ66</f>
        <v>0</v>
      </c>
      <c r="N66" s="103">
        <f>年報!AR66</f>
        <v>0</v>
      </c>
      <c r="O66" s="144">
        <f>年報!AS66</f>
        <v>0</v>
      </c>
      <c r="P66" s="99">
        <f>年報!AT66</f>
        <v>0</v>
      </c>
      <c r="Q66" s="101">
        <f>年報!AU66</f>
        <v>0</v>
      </c>
      <c r="R66" s="103">
        <f>年報!AV66</f>
        <v>0</v>
      </c>
      <c r="S66" s="103">
        <f>年報!AW66</f>
        <v>0</v>
      </c>
      <c r="T66" s="144">
        <f>年報!AX66</f>
        <v>0</v>
      </c>
      <c r="U66" s="99">
        <f>年報!AY66</f>
        <v>0</v>
      </c>
      <c r="V66" s="101">
        <f>年報!AZ66</f>
        <v>0</v>
      </c>
      <c r="W66" s="103">
        <f>年報!BA66</f>
        <v>0</v>
      </c>
      <c r="X66" s="103">
        <f>年報!BB66</f>
        <v>0</v>
      </c>
      <c r="Y66" s="144">
        <f>年報!BC66</f>
        <v>0</v>
      </c>
      <c r="Z66" s="99">
        <f>年報!BD66</f>
        <v>0</v>
      </c>
      <c r="AA66" s="101">
        <f>年報!BE66</f>
        <v>0</v>
      </c>
      <c r="AB66" s="103">
        <f>年報!BF66</f>
        <v>0</v>
      </c>
      <c r="AC66" s="103">
        <f>年報!BG66</f>
        <v>0</v>
      </c>
      <c r="AD66" s="144">
        <f>年報!BH66</f>
        <v>0</v>
      </c>
      <c r="AE66" s="99">
        <f>年報!BI66</f>
        <v>0</v>
      </c>
      <c r="AF66" s="101">
        <f>年報!BJ66</f>
        <v>0</v>
      </c>
      <c r="AG66" s="103">
        <f>年報!BK66</f>
        <v>0</v>
      </c>
      <c r="AH66" s="103">
        <f>年報!BL66</f>
        <v>0</v>
      </c>
      <c r="AI66" s="144">
        <f>年報!BM66</f>
        <v>0</v>
      </c>
      <c r="AJ66" s="99">
        <f>年報!BN66</f>
        <v>0</v>
      </c>
      <c r="AK66" s="101">
        <f>年報!BO66</f>
        <v>0</v>
      </c>
      <c r="AL66" s="103">
        <f>年報!BP66</f>
        <v>0</v>
      </c>
      <c r="AM66" s="103">
        <f>年報!BQ66</f>
        <v>0</v>
      </c>
      <c r="AN66" s="144">
        <f>年報!BR66</f>
        <v>0</v>
      </c>
      <c r="AO66" s="99">
        <f>月報!R67</f>
        <v>0</v>
      </c>
      <c r="AP66" s="101">
        <f>月報!S67</f>
        <v>0</v>
      </c>
      <c r="AQ66" s="103">
        <f>月報!T67</f>
        <v>0</v>
      </c>
      <c r="AR66" s="103">
        <f>月報!U67</f>
        <v>0</v>
      </c>
      <c r="AS66" s="144">
        <f>月報!V67</f>
        <v>0</v>
      </c>
    </row>
    <row r="67" spans="2:45" ht="15.6" thickBot="1" x14ac:dyDescent="0.5">
      <c r="B67" s="93"/>
      <c r="C67" s="97"/>
      <c r="D67" s="98"/>
      <c r="E67" s="98"/>
      <c r="F67" s="98"/>
      <c r="G67" s="98"/>
      <c r="H67" s="98"/>
      <c r="I67" s="98"/>
      <c r="J67" s="34"/>
      <c r="K67" s="100"/>
      <c r="L67" s="102"/>
      <c r="M67" s="104"/>
      <c r="N67" s="104"/>
      <c r="O67" s="117"/>
      <c r="P67" s="100"/>
      <c r="Q67" s="102"/>
      <c r="R67" s="104"/>
      <c r="S67" s="104"/>
      <c r="T67" s="117"/>
      <c r="U67" s="100"/>
      <c r="V67" s="102"/>
      <c r="W67" s="104"/>
      <c r="X67" s="104"/>
      <c r="Y67" s="117"/>
      <c r="Z67" s="100"/>
      <c r="AA67" s="102"/>
      <c r="AB67" s="104"/>
      <c r="AC67" s="104"/>
      <c r="AD67" s="117"/>
      <c r="AE67" s="100"/>
      <c r="AF67" s="102"/>
      <c r="AG67" s="104"/>
      <c r="AH67" s="104"/>
      <c r="AI67" s="117"/>
      <c r="AJ67" s="100"/>
      <c r="AK67" s="102"/>
      <c r="AL67" s="104"/>
      <c r="AM67" s="104"/>
      <c r="AN67" s="117"/>
      <c r="AO67" s="100"/>
      <c r="AP67" s="102"/>
      <c r="AQ67" s="104"/>
      <c r="AR67" s="104"/>
      <c r="AS67" s="117"/>
    </row>
  </sheetData>
  <mergeCells count="1051">
    <mergeCell ref="AO10:AS10"/>
    <mergeCell ref="B12:B19"/>
    <mergeCell ref="C12:E15"/>
    <mergeCell ref="F12:I13"/>
    <mergeCell ref="K12:K13"/>
    <mergeCell ref="L12:L13"/>
    <mergeCell ref="M12:M13"/>
    <mergeCell ref="N12:N13"/>
    <mergeCell ref="O12:O13"/>
    <mergeCell ref="P12:P13"/>
    <mergeCell ref="AP5:AR5"/>
    <mergeCell ref="AP6:AR6"/>
    <mergeCell ref="AP7:AR7"/>
    <mergeCell ref="AP8:AR8"/>
    <mergeCell ref="K10:O10"/>
    <mergeCell ref="P10:T10"/>
    <mergeCell ref="U10:Y10"/>
    <mergeCell ref="Z10:AD10"/>
    <mergeCell ref="AE10:AI10"/>
    <mergeCell ref="AJ10:AN10"/>
    <mergeCell ref="F14:I15"/>
    <mergeCell ref="K14:K15"/>
    <mergeCell ref="L14:L15"/>
    <mergeCell ref="M14:M15"/>
    <mergeCell ref="N14:N15"/>
    <mergeCell ref="AI12:AI13"/>
    <mergeCell ref="AJ12:AJ13"/>
    <mergeCell ref="AK12:AK13"/>
    <mergeCell ref="AL12:AL13"/>
    <mergeCell ref="AM12:AM13"/>
    <mergeCell ref="AN12:AN13"/>
    <mergeCell ref="AC12:AC13"/>
    <mergeCell ref="AO12:AO13"/>
    <mergeCell ref="AP12:AP13"/>
    <mergeCell ref="AQ12:AQ13"/>
    <mergeCell ref="AR12:AR13"/>
    <mergeCell ref="AS12:AS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4:AI15"/>
    <mergeCell ref="AJ14:AJ15"/>
    <mergeCell ref="AK14:AK15"/>
    <mergeCell ref="AL14:AL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O14:O15"/>
    <mergeCell ref="P14:P15"/>
    <mergeCell ref="Q14:Q15"/>
    <mergeCell ref="R14:R15"/>
    <mergeCell ref="S14:S15"/>
    <mergeCell ref="T14:T15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S16:S17"/>
    <mergeCell ref="T16:T17"/>
    <mergeCell ref="U16:U17"/>
    <mergeCell ref="V16:V17"/>
    <mergeCell ref="W16:W17"/>
    <mergeCell ref="X16:X17"/>
    <mergeCell ref="AS14:AS15"/>
    <mergeCell ref="F16:I17"/>
    <mergeCell ref="K16:K17"/>
    <mergeCell ref="L16:L17"/>
    <mergeCell ref="M16:M17"/>
    <mergeCell ref="N16:N17"/>
    <mergeCell ref="O16:O17"/>
    <mergeCell ref="P16:P17"/>
    <mergeCell ref="Q16:Q17"/>
    <mergeCell ref="R16:R17"/>
    <mergeCell ref="AM14:AM15"/>
    <mergeCell ref="AN14:AN15"/>
    <mergeCell ref="AO14:AO15"/>
    <mergeCell ref="AP14:AP15"/>
    <mergeCell ref="AQ14:AQ15"/>
    <mergeCell ref="AR14:AR15"/>
    <mergeCell ref="AG14:AG15"/>
    <mergeCell ref="AH14:AH15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Q16:AQ17"/>
    <mergeCell ref="AR16:AR17"/>
    <mergeCell ref="AS16:AS17"/>
    <mergeCell ref="C18:I19"/>
    <mergeCell ref="K18:K19"/>
    <mergeCell ref="L18:L19"/>
    <mergeCell ref="M18:M19"/>
    <mergeCell ref="N18:N19"/>
    <mergeCell ref="O18:O19"/>
    <mergeCell ref="P18:P19"/>
    <mergeCell ref="AK16:AK17"/>
    <mergeCell ref="AL16:AL17"/>
    <mergeCell ref="AM16:AM17"/>
    <mergeCell ref="AN16:AN17"/>
    <mergeCell ref="AO16:AO17"/>
    <mergeCell ref="AP16:AP17"/>
    <mergeCell ref="AE16:AE17"/>
    <mergeCell ref="AF16:AF17"/>
    <mergeCell ref="AG16:AG17"/>
    <mergeCell ref="AH16:AH17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AO18:AO19"/>
    <mergeCell ref="AP18:AP19"/>
    <mergeCell ref="AQ18:AQ19"/>
    <mergeCell ref="AR18:AR19"/>
    <mergeCell ref="AS18:AS19"/>
    <mergeCell ref="B20:B35"/>
    <mergeCell ref="C20:E23"/>
    <mergeCell ref="F20:I21"/>
    <mergeCell ref="K20:K21"/>
    <mergeCell ref="L20:L21"/>
    <mergeCell ref="AI18:AI19"/>
    <mergeCell ref="AJ18:AJ19"/>
    <mergeCell ref="AK18:AK19"/>
    <mergeCell ref="AL18:AL19"/>
    <mergeCell ref="AM18:AM19"/>
    <mergeCell ref="AN18:AN19"/>
    <mergeCell ref="AC18:AC19"/>
    <mergeCell ref="AD18:AD19"/>
    <mergeCell ref="AE18:AE19"/>
    <mergeCell ref="AF18:AF19"/>
    <mergeCell ref="AG18:AG19"/>
    <mergeCell ref="AH18:AH19"/>
    <mergeCell ref="U22:U23"/>
    <mergeCell ref="V22:V23"/>
    <mergeCell ref="AQ20:AQ21"/>
    <mergeCell ref="AR20:AR21"/>
    <mergeCell ref="AS20:AS21"/>
    <mergeCell ref="F22:I23"/>
    <mergeCell ref="K22:K23"/>
    <mergeCell ref="L22:L23"/>
    <mergeCell ref="M22:M23"/>
    <mergeCell ref="N22:N23"/>
    <mergeCell ref="O22:O23"/>
    <mergeCell ref="P22:P23"/>
    <mergeCell ref="AK20:AK21"/>
    <mergeCell ref="AL20:AL21"/>
    <mergeCell ref="AM20:AM21"/>
    <mergeCell ref="AN20:AN21"/>
    <mergeCell ref="AO20:AO21"/>
    <mergeCell ref="AP20:AP21"/>
    <mergeCell ref="AE20:AE21"/>
    <mergeCell ref="AF20:AF21"/>
    <mergeCell ref="AG20:AG21"/>
    <mergeCell ref="AH20:AH21"/>
    <mergeCell ref="AI20:AI21"/>
    <mergeCell ref="AJ20:AJ21"/>
    <mergeCell ref="Y20:Y21"/>
    <mergeCell ref="Z20:Z21"/>
    <mergeCell ref="AA20:AA21"/>
    <mergeCell ref="AB20:AB21"/>
    <mergeCell ref="AC20:AC21"/>
    <mergeCell ref="AD20:AD21"/>
    <mergeCell ref="S20:S21"/>
    <mergeCell ref="T20:T21"/>
    <mergeCell ref="AO22:AO23"/>
    <mergeCell ref="AP22:AP23"/>
    <mergeCell ref="AQ22:AQ23"/>
    <mergeCell ref="AR22:AR23"/>
    <mergeCell ref="AS22:AS23"/>
    <mergeCell ref="F24:I25"/>
    <mergeCell ref="J24:J25"/>
    <mergeCell ref="K24:K25"/>
    <mergeCell ref="L24:L25"/>
    <mergeCell ref="M24:M25"/>
    <mergeCell ref="AI22:AI23"/>
    <mergeCell ref="AJ22:AJ23"/>
    <mergeCell ref="AK22:AK23"/>
    <mergeCell ref="AL22:AL23"/>
    <mergeCell ref="AM22:AM23"/>
    <mergeCell ref="AN22:AN23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AJ24:AJ25"/>
    <mergeCell ref="AK24:AK25"/>
    <mergeCell ref="Z24:Z25"/>
    <mergeCell ref="AA24:AA25"/>
    <mergeCell ref="AB24:AB25"/>
    <mergeCell ref="AC24:AC25"/>
    <mergeCell ref="AD24:AD25"/>
    <mergeCell ref="AE24:AE25"/>
    <mergeCell ref="T24:T25"/>
    <mergeCell ref="U24:U25"/>
    <mergeCell ref="V24:V25"/>
    <mergeCell ref="W24:W25"/>
    <mergeCell ref="X24:X25"/>
    <mergeCell ref="Y24:Y25"/>
    <mergeCell ref="N24:N25"/>
    <mergeCell ref="O24:O25"/>
    <mergeCell ref="P24:P25"/>
    <mergeCell ref="Q24:Q25"/>
    <mergeCell ref="R24:R25"/>
    <mergeCell ref="S24:S25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R24:AR25"/>
    <mergeCell ref="AS24:AS25"/>
    <mergeCell ref="C26:E29"/>
    <mergeCell ref="F26:I27"/>
    <mergeCell ref="K26:K27"/>
    <mergeCell ref="L26:L27"/>
    <mergeCell ref="M26:M27"/>
    <mergeCell ref="N26:N27"/>
    <mergeCell ref="O26:O27"/>
    <mergeCell ref="P26:P27"/>
    <mergeCell ref="AL24:AL25"/>
    <mergeCell ref="AM24:AM25"/>
    <mergeCell ref="AN24:AN25"/>
    <mergeCell ref="AO24:AO25"/>
    <mergeCell ref="AP24:AP25"/>
    <mergeCell ref="AQ24:AQ25"/>
    <mergeCell ref="AF24:AF25"/>
    <mergeCell ref="AG24:AG25"/>
    <mergeCell ref="AH24:AH25"/>
    <mergeCell ref="AI24:AI25"/>
    <mergeCell ref="W28:W29"/>
    <mergeCell ref="X28:X29"/>
    <mergeCell ref="Y28:Y29"/>
    <mergeCell ref="Z28:Z29"/>
    <mergeCell ref="O28:O29"/>
    <mergeCell ref="P28:P29"/>
    <mergeCell ref="Q28:Q29"/>
    <mergeCell ref="R28:R29"/>
    <mergeCell ref="S28:S29"/>
    <mergeCell ref="T28:T29"/>
    <mergeCell ref="AO26:AO27"/>
    <mergeCell ref="AP26:AP27"/>
    <mergeCell ref="AQ26:AQ27"/>
    <mergeCell ref="AR26:AR27"/>
    <mergeCell ref="AS26:AS27"/>
    <mergeCell ref="F28:I29"/>
    <mergeCell ref="K28:K29"/>
    <mergeCell ref="L28:L29"/>
    <mergeCell ref="M28:M29"/>
    <mergeCell ref="N28:N29"/>
    <mergeCell ref="AI26:AI27"/>
    <mergeCell ref="AJ26:AJ27"/>
    <mergeCell ref="AK26:AK27"/>
    <mergeCell ref="AL26:AL27"/>
    <mergeCell ref="AM26:AM27"/>
    <mergeCell ref="AN26:AN27"/>
    <mergeCell ref="AC26:AC27"/>
    <mergeCell ref="AD26:AD27"/>
    <mergeCell ref="AE26:AE27"/>
    <mergeCell ref="AF26:AF27"/>
    <mergeCell ref="AG26:AG27"/>
    <mergeCell ref="AH26:AH27"/>
    <mergeCell ref="V30:V31"/>
    <mergeCell ref="W30:W31"/>
    <mergeCell ref="AS28:AS29"/>
    <mergeCell ref="F30:I31"/>
    <mergeCell ref="J30:J31"/>
    <mergeCell ref="K30:K31"/>
    <mergeCell ref="L30:L31"/>
    <mergeCell ref="M30:M31"/>
    <mergeCell ref="N30:N31"/>
    <mergeCell ref="O30:O31"/>
    <mergeCell ref="P30:P31"/>
    <mergeCell ref="Q30:Q31"/>
    <mergeCell ref="AM28:AM29"/>
    <mergeCell ref="AN28:AN29"/>
    <mergeCell ref="AO28:AO29"/>
    <mergeCell ref="AP28:AP29"/>
    <mergeCell ref="AQ28:AQ29"/>
    <mergeCell ref="AR28:AR29"/>
    <mergeCell ref="AG28:AG29"/>
    <mergeCell ref="AH28:AH29"/>
    <mergeCell ref="AI28:AI29"/>
    <mergeCell ref="AJ28:AJ29"/>
    <mergeCell ref="AK28:AK29"/>
    <mergeCell ref="AL28:AL29"/>
    <mergeCell ref="AA28:AA29"/>
    <mergeCell ref="AB28:AB29"/>
    <mergeCell ref="AC28:AC29"/>
    <mergeCell ref="AD28:AD29"/>
    <mergeCell ref="AE28:AE29"/>
    <mergeCell ref="AF28:AF29"/>
    <mergeCell ref="U28:U29"/>
    <mergeCell ref="V28:V29"/>
    <mergeCell ref="AP30:AP31"/>
    <mergeCell ref="AQ30:AQ31"/>
    <mergeCell ref="AR30:AR31"/>
    <mergeCell ref="AS30:AS31"/>
    <mergeCell ref="C32:E33"/>
    <mergeCell ref="J32:J33"/>
    <mergeCell ref="K32:K33"/>
    <mergeCell ref="L32:L33"/>
    <mergeCell ref="M32:M33"/>
    <mergeCell ref="N32:N33"/>
    <mergeCell ref="AJ30:AJ31"/>
    <mergeCell ref="AK30:AK31"/>
    <mergeCell ref="AL30:AL31"/>
    <mergeCell ref="AM30:AM31"/>
    <mergeCell ref="AN30:AN31"/>
    <mergeCell ref="AO30:AO31"/>
    <mergeCell ref="AD30:AD31"/>
    <mergeCell ref="AE30:AE31"/>
    <mergeCell ref="AF30:AF31"/>
    <mergeCell ref="AG30:AG31"/>
    <mergeCell ref="AH30:AH31"/>
    <mergeCell ref="AI30:AI31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AI32:AI33"/>
    <mergeCell ref="AJ32:AJ33"/>
    <mergeCell ref="AK32:AK33"/>
    <mergeCell ref="AL32:AL33"/>
    <mergeCell ref="AA32:AA33"/>
    <mergeCell ref="AB32:AB33"/>
    <mergeCell ref="AC32:AC33"/>
    <mergeCell ref="AD32:AD33"/>
    <mergeCell ref="AE32:AE33"/>
    <mergeCell ref="AF32:AF33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R36:R37"/>
    <mergeCell ref="S36:S37"/>
    <mergeCell ref="T36:T37"/>
    <mergeCell ref="AS32:AS33"/>
    <mergeCell ref="C34:E34"/>
    <mergeCell ref="F34:I35"/>
    <mergeCell ref="J34:J35"/>
    <mergeCell ref="K34:K35"/>
    <mergeCell ref="L34:L35"/>
    <mergeCell ref="M34:M35"/>
    <mergeCell ref="N34:N35"/>
    <mergeCell ref="O34:O35"/>
    <mergeCell ref="P34:P35"/>
    <mergeCell ref="AM32:AM33"/>
    <mergeCell ref="AN32:AN33"/>
    <mergeCell ref="AO32:AO33"/>
    <mergeCell ref="AP32:AP33"/>
    <mergeCell ref="AQ32:AQ33"/>
    <mergeCell ref="AR32:AR33"/>
    <mergeCell ref="AG32:AG33"/>
    <mergeCell ref="AH32:AH33"/>
    <mergeCell ref="Q36:Q37"/>
    <mergeCell ref="AO34:AO35"/>
    <mergeCell ref="AP34:AP35"/>
    <mergeCell ref="AQ34:AQ35"/>
    <mergeCell ref="AR34:AR35"/>
    <mergeCell ref="AS34:AS35"/>
    <mergeCell ref="R38:R39"/>
    <mergeCell ref="S38:S39"/>
    <mergeCell ref="T38:T39"/>
    <mergeCell ref="U38:U39"/>
    <mergeCell ref="AP36:AP37"/>
    <mergeCell ref="AQ36:AQ37"/>
    <mergeCell ref="AR36:AR37"/>
    <mergeCell ref="AS36:AS37"/>
    <mergeCell ref="B36:B55"/>
    <mergeCell ref="C36:E39"/>
    <mergeCell ref="F36:I37"/>
    <mergeCell ref="J36:J37"/>
    <mergeCell ref="K36:K37"/>
    <mergeCell ref="AI34:AI35"/>
    <mergeCell ref="AJ34:AJ35"/>
    <mergeCell ref="AK34:AK35"/>
    <mergeCell ref="AL34:AL35"/>
    <mergeCell ref="AM34:AM35"/>
    <mergeCell ref="AN34:AN35"/>
    <mergeCell ref="AC34:AC35"/>
    <mergeCell ref="AD34:AD35"/>
    <mergeCell ref="AE34:AE35"/>
    <mergeCell ref="AF34:AF35"/>
    <mergeCell ref="AG34:AG35"/>
    <mergeCell ref="AH34:AH35"/>
    <mergeCell ref="W34:W35"/>
    <mergeCell ref="F38:I39"/>
    <mergeCell ref="K38:K39"/>
    <mergeCell ref="L38:L39"/>
    <mergeCell ref="M38:M39"/>
    <mergeCell ref="N38:N39"/>
    <mergeCell ref="O38:O39"/>
    <mergeCell ref="AJ36:AJ37"/>
    <mergeCell ref="AK36:AK37"/>
    <mergeCell ref="AL36:AL37"/>
    <mergeCell ref="AM36:AM37"/>
    <mergeCell ref="AN36:AN37"/>
    <mergeCell ref="AO36:AO37"/>
    <mergeCell ref="AD36:AD37"/>
    <mergeCell ref="AE36:AE37"/>
    <mergeCell ref="AF36:AF37"/>
    <mergeCell ref="AG36:AG37"/>
    <mergeCell ref="AH36:AH37"/>
    <mergeCell ref="AI36:AI37"/>
    <mergeCell ref="X36:X37"/>
    <mergeCell ref="Y36:Y37"/>
    <mergeCell ref="Z36:Z37"/>
    <mergeCell ref="AA36:AA37"/>
    <mergeCell ref="AB36:AB37"/>
    <mergeCell ref="AC36:AC37"/>
    <mergeCell ref="U36:U37"/>
    <mergeCell ref="V36:V37"/>
    <mergeCell ref="W36:W37"/>
    <mergeCell ref="L36:L37"/>
    <mergeCell ref="M36:M37"/>
    <mergeCell ref="N36:N37"/>
    <mergeCell ref="O36:O37"/>
    <mergeCell ref="P36:P37"/>
    <mergeCell ref="F40:I41"/>
    <mergeCell ref="J40:J41"/>
    <mergeCell ref="K40:K41"/>
    <mergeCell ref="L40:L41"/>
    <mergeCell ref="M40:M41"/>
    <mergeCell ref="N40:N41"/>
    <mergeCell ref="AN38:AN39"/>
    <mergeCell ref="AO38:AO39"/>
    <mergeCell ref="AP38:AP39"/>
    <mergeCell ref="AQ38:AQ39"/>
    <mergeCell ref="AR38:AR39"/>
    <mergeCell ref="AS38:AS39"/>
    <mergeCell ref="AH38:AH39"/>
    <mergeCell ref="AI38:AI39"/>
    <mergeCell ref="AJ38:AJ39"/>
    <mergeCell ref="AK38:AK39"/>
    <mergeCell ref="AL38:AL39"/>
    <mergeCell ref="AM38:AM39"/>
    <mergeCell ref="AB38:AB39"/>
    <mergeCell ref="AC38:AC39"/>
    <mergeCell ref="AD38:AD39"/>
    <mergeCell ref="AE38:AE39"/>
    <mergeCell ref="AF38:AF39"/>
    <mergeCell ref="AG38:AG39"/>
    <mergeCell ref="V38:V39"/>
    <mergeCell ref="W38:W39"/>
    <mergeCell ref="X38:X39"/>
    <mergeCell ref="Y38:Y39"/>
    <mergeCell ref="Z38:Z39"/>
    <mergeCell ref="AA38:AA39"/>
    <mergeCell ref="P38:P39"/>
    <mergeCell ref="Q38:Q39"/>
    <mergeCell ref="AK40:AK41"/>
    <mergeCell ref="AL40:AL41"/>
    <mergeCell ref="AA40:AA41"/>
    <mergeCell ref="AB40:AB41"/>
    <mergeCell ref="AC40:AC41"/>
    <mergeCell ref="AD40:AD41"/>
    <mergeCell ref="AE40:AE41"/>
    <mergeCell ref="AF40:AF41"/>
    <mergeCell ref="U40:U41"/>
    <mergeCell ref="V40:V41"/>
    <mergeCell ref="W40:W41"/>
    <mergeCell ref="X40:X41"/>
    <mergeCell ref="Y40:Y41"/>
    <mergeCell ref="Z40:Z41"/>
    <mergeCell ref="O40:O41"/>
    <mergeCell ref="P40:P41"/>
    <mergeCell ref="Q40:Q41"/>
    <mergeCell ref="R40:R41"/>
    <mergeCell ref="S40:S41"/>
    <mergeCell ref="T40:T41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S40:AS41"/>
    <mergeCell ref="C42:E45"/>
    <mergeCell ref="F42:I43"/>
    <mergeCell ref="J42:J43"/>
    <mergeCell ref="K42:K43"/>
    <mergeCell ref="L42:L43"/>
    <mergeCell ref="M42:M43"/>
    <mergeCell ref="N42:N43"/>
    <mergeCell ref="O42:O43"/>
    <mergeCell ref="P42:P43"/>
    <mergeCell ref="AM40:AM41"/>
    <mergeCell ref="AN40:AN41"/>
    <mergeCell ref="AO40:AO41"/>
    <mergeCell ref="AP40:AP41"/>
    <mergeCell ref="AQ40:AQ41"/>
    <mergeCell ref="AR40:AR41"/>
    <mergeCell ref="AG40:AG41"/>
    <mergeCell ref="AH40:AH41"/>
    <mergeCell ref="AI40:AI41"/>
    <mergeCell ref="AJ40:AJ41"/>
    <mergeCell ref="W44:W45"/>
    <mergeCell ref="X44:X45"/>
    <mergeCell ref="Y44:Y45"/>
    <mergeCell ref="Z44:Z45"/>
    <mergeCell ref="O44:O45"/>
    <mergeCell ref="P44:P45"/>
    <mergeCell ref="Q44:Q45"/>
    <mergeCell ref="R44:R45"/>
    <mergeCell ref="S44:S45"/>
    <mergeCell ref="T44:T45"/>
    <mergeCell ref="AO42:AO43"/>
    <mergeCell ref="AP42:AP43"/>
    <mergeCell ref="AQ42:AQ43"/>
    <mergeCell ref="AR42:AR43"/>
    <mergeCell ref="AS42:AS43"/>
    <mergeCell ref="F44:I45"/>
    <mergeCell ref="K44:K45"/>
    <mergeCell ref="L44:L45"/>
    <mergeCell ref="M44:M45"/>
    <mergeCell ref="N44:N45"/>
    <mergeCell ref="AI42:AI43"/>
    <mergeCell ref="AJ42:AJ43"/>
    <mergeCell ref="AK42:AK43"/>
    <mergeCell ref="AL42:AL43"/>
    <mergeCell ref="AM42:AM43"/>
    <mergeCell ref="AN42:AN43"/>
    <mergeCell ref="AC42:AC43"/>
    <mergeCell ref="AD42:AD43"/>
    <mergeCell ref="AE42:AE43"/>
    <mergeCell ref="AF42:AF43"/>
    <mergeCell ref="AG42:AG43"/>
    <mergeCell ref="AH42:AH43"/>
    <mergeCell ref="V46:V47"/>
    <mergeCell ref="W46:W47"/>
    <mergeCell ref="AS44:AS45"/>
    <mergeCell ref="F46:I47"/>
    <mergeCell ref="J46:J47"/>
    <mergeCell ref="K46:K47"/>
    <mergeCell ref="L46:L47"/>
    <mergeCell ref="M46:M47"/>
    <mergeCell ref="N46:N47"/>
    <mergeCell ref="O46:O47"/>
    <mergeCell ref="P46:P47"/>
    <mergeCell ref="Q46:Q47"/>
    <mergeCell ref="AM44:AM45"/>
    <mergeCell ref="AN44:AN45"/>
    <mergeCell ref="AO44:AO45"/>
    <mergeCell ref="AP44:AP45"/>
    <mergeCell ref="AQ44:AQ45"/>
    <mergeCell ref="AR44:AR45"/>
    <mergeCell ref="AG44:AG45"/>
    <mergeCell ref="AH44:AH45"/>
    <mergeCell ref="AI44:AI45"/>
    <mergeCell ref="AJ44:AJ45"/>
    <mergeCell ref="AK44:AK45"/>
    <mergeCell ref="AL44:AL45"/>
    <mergeCell ref="AA44:AA45"/>
    <mergeCell ref="AB44:AB45"/>
    <mergeCell ref="AC44:AC45"/>
    <mergeCell ref="AD44:AD45"/>
    <mergeCell ref="AE44:AE45"/>
    <mergeCell ref="AF44:AF45"/>
    <mergeCell ref="U44:U45"/>
    <mergeCell ref="V44:V45"/>
    <mergeCell ref="AP46:AP47"/>
    <mergeCell ref="AQ46:AQ47"/>
    <mergeCell ref="AR46:AR47"/>
    <mergeCell ref="AS46:AS47"/>
    <mergeCell ref="C48:E49"/>
    <mergeCell ref="F48:I49"/>
    <mergeCell ref="J48:J49"/>
    <mergeCell ref="K48:K49"/>
    <mergeCell ref="L48:L49"/>
    <mergeCell ref="M48:M49"/>
    <mergeCell ref="AJ46:AJ47"/>
    <mergeCell ref="AK46:AK47"/>
    <mergeCell ref="AL46:AL47"/>
    <mergeCell ref="AM46:AM47"/>
    <mergeCell ref="AN46:AN47"/>
    <mergeCell ref="AO46:AO47"/>
    <mergeCell ref="AD46:AD47"/>
    <mergeCell ref="AE46:AE47"/>
    <mergeCell ref="AF46:AF47"/>
    <mergeCell ref="AG46:AG47"/>
    <mergeCell ref="AH46:AH47"/>
    <mergeCell ref="AI46:AI47"/>
    <mergeCell ref="X46:X47"/>
    <mergeCell ref="Y46:Y47"/>
    <mergeCell ref="Z46:Z47"/>
    <mergeCell ref="AA46:AA47"/>
    <mergeCell ref="AB46:AB47"/>
    <mergeCell ref="AC46:AC47"/>
    <mergeCell ref="R46:R47"/>
    <mergeCell ref="S46:S47"/>
    <mergeCell ref="T46:T47"/>
    <mergeCell ref="U46:U47"/>
    <mergeCell ref="AJ48:AJ49"/>
    <mergeCell ref="AK48:AK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N48:N49"/>
    <mergeCell ref="O48:O49"/>
    <mergeCell ref="P48:P49"/>
    <mergeCell ref="Q48:Q49"/>
    <mergeCell ref="R48:R49"/>
    <mergeCell ref="S48:S49"/>
    <mergeCell ref="V50:V51"/>
    <mergeCell ref="W50:W51"/>
    <mergeCell ref="X50:X51"/>
    <mergeCell ref="Y50:Y51"/>
    <mergeCell ref="Z50:Z51"/>
    <mergeCell ref="AA50:AA51"/>
    <mergeCell ref="P50:P51"/>
    <mergeCell ref="Q50:Q51"/>
    <mergeCell ref="R50:R51"/>
    <mergeCell ref="S50:S51"/>
    <mergeCell ref="T50:T51"/>
    <mergeCell ref="U50:U51"/>
    <mergeCell ref="AR48:AR49"/>
    <mergeCell ref="AS48:AS49"/>
    <mergeCell ref="C50:E51"/>
    <mergeCell ref="F50:I51"/>
    <mergeCell ref="J50:J51"/>
    <mergeCell ref="K50:K51"/>
    <mergeCell ref="L50:L51"/>
    <mergeCell ref="M50:M51"/>
    <mergeCell ref="N50:N51"/>
    <mergeCell ref="O50:O51"/>
    <mergeCell ref="AL48:AL49"/>
    <mergeCell ref="AM48:AM49"/>
    <mergeCell ref="AN48:AN49"/>
    <mergeCell ref="AO48:AO49"/>
    <mergeCell ref="AP48:AP49"/>
    <mergeCell ref="AQ48:AQ49"/>
    <mergeCell ref="AF48:AF49"/>
    <mergeCell ref="AG48:AG49"/>
    <mergeCell ref="AH48:AH49"/>
    <mergeCell ref="AI48:AI49"/>
    <mergeCell ref="AN50:AN51"/>
    <mergeCell ref="AO50:AO51"/>
    <mergeCell ref="AP50:AP51"/>
    <mergeCell ref="AQ50:AQ51"/>
    <mergeCell ref="AR50:AR51"/>
    <mergeCell ref="AS50:AS51"/>
    <mergeCell ref="AH50:AH51"/>
    <mergeCell ref="AI50:AI51"/>
    <mergeCell ref="AJ50:AJ51"/>
    <mergeCell ref="AK50:AK51"/>
    <mergeCell ref="AL50:AL51"/>
    <mergeCell ref="AM50:AM51"/>
    <mergeCell ref="AB50:AB51"/>
    <mergeCell ref="AC50:AC51"/>
    <mergeCell ref="AD50:AD51"/>
    <mergeCell ref="AE50:AE51"/>
    <mergeCell ref="AF50:AF51"/>
    <mergeCell ref="AG50:AG51"/>
    <mergeCell ref="AD52:AD53"/>
    <mergeCell ref="AE52:AE53"/>
    <mergeCell ref="AF52:AF53"/>
    <mergeCell ref="U52:U53"/>
    <mergeCell ref="V52:V53"/>
    <mergeCell ref="W52:W53"/>
    <mergeCell ref="X52:X53"/>
    <mergeCell ref="Y52:Y53"/>
    <mergeCell ref="Z52:Z53"/>
    <mergeCell ref="O52:O53"/>
    <mergeCell ref="P52:P53"/>
    <mergeCell ref="Q52:Q53"/>
    <mergeCell ref="R52:R53"/>
    <mergeCell ref="S52:S53"/>
    <mergeCell ref="T52:T53"/>
    <mergeCell ref="C52:E53"/>
    <mergeCell ref="F52:I53"/>
    <mergeCell ref="K52:K53"/>
    <mergeCell ref="L52:L53"/>
    <mergeCell ref="M52:M53"/>
    <mergeCell ref="N52:N53"/>
    <mergeCell ref="AC54:AC55"/>
    <mergeCell ref="R54:R55"/>
    <mergeCell ref="S54:S55"/>
    <mergeCell ref="T54:T55"/>
    <mergeCell ref="U54:U55"/>
    <mergeCell ref="V54:V55"/>
    <mergeCell ref="W54:W55"/>
    <mergeCell ref="AS52:AS53"/>
    <mergeCell ref="C54:E55"/>
    <mergeCell ref="F54:I55"/>
    <mergeCell ref="K54:K55"/>
    <mergeCell ref="L54:L55"/>
    <mergeCell ref="M54:M55"/>
    <mergeCell ref="N54:N55"/>
    <mergeCell ref="O54:O55"/>
    <mergeCell ref="P54:P55"/>
    <mergeCell ref="Q54:Q55"/>
    <mergeCell ref="AM52:AM53"/>
    <mergeCell ref="AN52:AN53"/>
    <mergeCell ref="AO52:AO53"/>
    <mergeCell ref="AP52:AP53"/>
    <mergeCell ref="AQ52:AQ53"/>
    <mergeCell ref="AR52:AR53"/>
    <mergeCell ref="AG52:AG53"/>
    <mergeCell ref="AH52:AH53"/>
    <mergeCell ref="AI52:AI53"/>
    <mergeCell ref="AJ52:AJ53"/>
    <mergeCell ref="AK52:AK53"/>
    <mergeCell ref="AL52:AL53"/>
    <mergeCell ref="AA52:AA53"/>
    <mergeCell ref="AB52:AB53"/>
    <mergeCell ref="AC52:AC53"/>
    <mergeCell ref="N56:N57"/>
    <mergeCell ref="O56:O57"/>
    <mergeCell ref="P56:P57"/>
    <mergeCell ref="Q56:Q57"/>
    <mergeCell ref="R56:R57"/>
    <mergeCell ref="AP54:AP55"/>
    <mergeCell ref="AQ54:AQ55"/>
    <mergeCell ref="AR54:AR55"/>
    <mergeCell ref="AS54:AS55"/>
    <mergeCell ref="B56:B65"/>
    <mergeCell ref="C56:D57"/>
    <mergeCell ref="E56:I57"/>
    <mergeCell ref="J56:J57"/>
    <mergeCell ref="K56:K57"/>
    <mergeCell ref="L56:L57"/>
    <mergeCell ref="AJ54:AJ55"/>
    <mergeCell ref="AK54:AK55"/>
    <mergeCell ref="AL54:AL55"/>
    <mergeCell ref="AM54:AM55"/>
    <mergeCell ref="AN54:AN55"/>
    <mergeCell ref="AO54:AO55"/>
    <mergeCell ref="AD54:AD55"/>
    <mergeCell ref="AE54:AE55"/>
    <mergeCell ref="AF54:AF55"/>
    <mergeCell ref="AG54:AG55"/>
    <mergeCell ref="AH54:AH55"/>
    <mergeCell ref="AI54:AI55"/>
    <mergeCell ref="X54:X55"/>
    <mergeCell ref="Y54:Y55"/>
    <mergeCell ref="Z54:Z55"/>
    <mergeCell ref="AA54:AA55"/>
    <mergeCell ref="AB54:AB55"/>
    <mergeCell ref="C58:D61"/>
    <mergeCell ref="E58:I59"/>
    <mergeCell ref="J58:J59"/>
    <mergeCell ref="K58:K59"/>
    <mergeCell ref="L58:L59"/>
    <mergeCell ref="M58:M59"/>
    <mergeCell ref="N58:N59"/>
    <mergeCell ref="AK56:AK57"/>
    <mergeCell ref="AL56:AL57"/>
    <mergeCell ref="AM56:AM57"/>
    <mergeCell ref="AN56:AN57"/>
    <mergeCell ref="AO56:AO57"/>
    <mergeCell ref="AP56:AP57"/>
    <mergeCell ref="AE56:AE57"/>
    <mergeCell ref="AF56:AF57"/>
    <mergeCell ref="AG56:AG57"/>
    <mergeCell ref="AH56:AH57"/>
    <mergeCell ref="AI56:AI57"/>
    <mergeCell ref="AJ56:AJ57"/>
    <mergeCell ref="Y56:Y57"/>
    <mergeCell ref="Z56:Z57"/>
    <mergeCell ref="AA56:AA57"/>
    <mergeCell ref="AB56:AB57"/>
    <mergeCell ref="AC56:AC57"/>
    <mergeCell ref="AD56:AD57"/>
    <mergeCell ref="S56:S57"/>
    <mergeCell ref="T56:T57"/>
    <mergeCell ref="U56:U57"/>
    <mergeCell ref="V56:V57"/>
    <mergeCell ref="W56:W57"/>
    <mergeCell ref="X56:X57"/>
    <mergeCell ref="M56:M57"/>
    <mergeCell ref="AE58:AE59"/>
    <mergeCell ref="AF58:AF59"/>
    <mergeCell ref="U58:U59"/>
    <mergeCell ref="V58:V59"/>
    <mergeCell ref="W58:W59"/>
    <mergeCell ref="X58:X59"/>
    <mergeCell ref="Y58:Y59"/>
    <mergeCell ref="Z58:Z59"/>
    <mergeCell ref="O58:O59"/>
    <mergeCell ref="P58:P59"/>
    <mergeCell ref="Q58:Q59"/>
    <mergeCell ref="R58:R59"/>
    <mergeCell ref="S58:S59"/>
    <mergeCell ref="T58:T59"/>
    <mergeCell ref="AQ56:AQ57"/>
    <mergeCell ref="AR56:AR57"/>
    <mergeCell ref="AS56:AS57"/>
    <mergeCell ref="S60:S61"/>
    <mergeCell ref="T60:T61"/>
    <mergeCell ref="U60:U61"/>
    <mergeCell ref="V60:V61"/>
    <mergeCell ref="W60:W61"/>
    <mergeCell ref="X60:X61"/>
    <mergeCell ref="AS58:AS59"/>
    <mergeCell ref="E60:I61"/>
    <mergeCell ref="K60:K61"/>
    <mergeCell ref="L60:L61"/>
    <mergeCell ref="M60:M61"/>
    <mergeCell ref="N60:N61"/>
    <mergeCell ref="O60:O61"/>
    <mergeCell ref="P60:P61"/>
    <mergeCell ref="Q60:Q61"/>
    <mergeCell ref="R60:R61"/>
    <mergeCell ref="AM58:AM59"/>
    <mergeCell ref="AN58:AN59"/>
    <mergeCell ref="AO58:AO59"/>
    <mergeCell ref="AP58:AP59"/>
    <mergeCell ref="AQ58:AQ59"/>
    <mergeCell ref="AR58:AR59"/>
    <mergeCell ref="AG58:AG59"/>
    <mergeCell ref="AH58:AH59"/>
    <mergeCell ref="AI58:AI59"/>
    <mergeCell ref="AJ58:AJ59"/>
    <mergeCell ref="AK58:AK59"/>
    <mergeCell ref="AL58:AL59"/>
    <mergeCell ref="AA58:AA59"/>
    <mergeCell ref="AB58:AB59"/>
    <mergeCell ref="AC58:AC59"/>
    <mergeCell ref="AD58:AD59"/>
    <mergeCell ref="R62:R63"/>
    <mergeCell ref="S62:S63"/>
    <mergeCell ref="T62:T63"/>
    <mergeCell ref="U62:U63"/>
    <mergeCell ref="AQ60:AQ61"/>
    <mergeCell ref="AR60:AR61"/>
    <mergeCell ref="AS60:AS61"/>
    <mergeCell ref="C62:D63"/>
    <mergeCell ref="E62:I63"/>
    <mergeCell ref="K62:K63"/>
    <mergeCell ref="L62:L63"/>
    <mergeCell ref="M62:M63"/>
    <mergeCell ref="N62:N63"/>
    <mergeCell ref="O62:O63"/>
    <mergeCell ref="AK60:AK61"/>
    <mergeCell ref="AL60:AL61"/>
    <mergeCell ref="AM60:AM61"/>
    <mergeCell ref="AN60:AN61"/>
    <mergeCell ref="AO60:AO61"/>
    <mergeCell ref="AP60:AP61"/>
    <mergeCell ref="AE60:AE61"/>
    <mergeCell ref="AF60:AF61"/>
    <mergeCell ref="AG60:AG61"/>
    <mergeCell ref="AH60:AH61"/>
    <mergeCell ref="AI60:AI61"/>
    <mergeCell ref="AJ60:AJ61"/>
    <mergeCell ref="Y60:Y61"/>
    <mergeCell ref="Z60:Z61"/>
    <mergeCell ref="AA60:AA61"/>
    <mergeCell ref="AB60:AB61"/>
    <mergeCell ref="AC60:AC61"/>
    <mergeCell ref="AD60:AD61"/>
    <mergeCell ref="C64:E65"/>
    <mergeCell ref="F64:I65"/>
    <mergeCell ref="J64:J65"/>
    <mergeCell ref="K64:K65"/>
    <mergeCell ref="L64:L65"/>
    <mergeCell ref="M64:M65"/>
    <mergeCell ref="AN62:AN63"/>
    <mergeCell ref="AO62:AO63"/>
    <mergeCell ref="AP62:AP63"/>
    <mergeCell ref="AQ62:AQ63"/>
    <mergeCell ref="AR62:AR63"/>
    <mergeCell ref="AS62:AS63"/>
    <mergeCell ref="AH62:AH63"/>
    <mergeCell ref="AI62:AI63"/>
    <mergeCell ref="AJ62:AJ63"/>
    <mergeCell ref="AK62:AK63"/>
    <mergeCell ref="AL62:AL63"/>
    <mergeCell ref="AM62:AM63"/>
    <mergeCell ref="AB62:AB63"/>
    <mergeCell ref="AC62:AC63"/>
    <mergeCell ref="AD62:AD63"/>
    <mergeCell ref="AE62:AE63"/>
    <mergeCell ref="AF62:AF63"/>
    <mergeCell ref="AG62:AG63"/>
    <mergeCell ref="V62:V63"/>
    <mergeCell ref="W62:W63"/>
    <mergeCell ref="X62:X63"/>
    <mergeCell ref="Y62:Y63"/>
    <mergeCell ref="Z62:Z63"/>
    <mergeCell ref="AA62:AA63"/>
    <mergeCell ref="P62:P63"/>
    <mergeCell ref="Q62:Q63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U64:U65"/>
    <mergeCell ref="V64:V65"/>
    <mergeCell ref="W64:W65"/>
    <mergeCell ref="X64:X65"/>
    <mergeCell ref="Y64:Y65"/>
    <mergeCell ref="N64:N65"/>
    <mergeCell ref="O64:O65"/>
    <mergeCell ref="P64:P65"/>
    <mergeCell ref="Q64:Q65"/>
    <mergeCell ref="R64:R65"/>
    <mergeCell ref="S64:S65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R64:AR65"/>
    <mergeCell ref="AS64:AS65"/>
    <mergeCell ref="B66:B67"/>
    <mergeCell ref="C66:I67"/>
    <mergeCell ref="K66:K67"/>
    <mergeCell ref="L66:L67"/>
    <mergeCell ref="M66:M67"/>
    <mergeCell ref="N66:N67"/>
    <mergeCell ref="O66:O67"/>
    <mergeCell ref="P66:P67"/>
    <mergeCell ref="AL64:AL65"/>
    <mergeCell ref="AM64:AM65"/>
    <mergeCell ref="AN64:AN65"/>
    <mergeCell ref="AO64:AO65"/>
    <mergeCell ref="AP64:AP65"/>
    <mergeCell ref="AQ64:AQ65"/>
    <mergeCell ref="AF64:AF65"/>
    <mergeCell ref="AG64:AG65"/>
    <mergeCell ref="AH64:AH65"/>
    <mergeCell ref="AI64:AI65"/>
    <mergeCell ref="AO66:AO67"/>
    <mergeCell ref="AP66:AP67"/>
    <mergeCell ref="AQ66:AQ67"/>
    <mergeCell ref="AR66:AR67"/>
    <mergeCell ref="AS66:AS67"/>
    <mergeCell ref="AI66:AI67"/>
    <mergeCell ref="AJ66:AJ67"/>
    <mergeCell ref="AK66:AK67"/>
    <mergeCell ref="AL66:AL67"/>
    <mergeCell ref="AM66:AM67"/>
    <mergeCell ref="AN66:AN67"/>
    <mergeCell ref="AC66:AC67"/>
    <mergeCell ref="AD66:AD67"/>
    <mergeCell ref="AE66:AE67"/>
    <mergeCell ref="AF66:AF67"/>
    <mergeCell ref="AG66:AG67"/>
    <mergeCell ref="AH66:AH67"/>
  </mergeCells>
  <phoneticPr fontId="3"/>
  <conditionalFormatting sqref="K48:AS49">
    <cfRule type="expression" dxfId="3" priority="2">
      <formula>K48&lt;&gt;K64</formula>
    </cfRule>
  </conditionalFormatting>
  <conditionalFormatting sqref="K64:AS65">
    <cfRule type="expression" dxfId="2" priority="1">
      <formula>K64&lt;&gt;K48</formula>
    </cfRule>
  </conditionalFormatting>
  <pageMargins left="0.70866141732283472" right="0.70866141732283472" top="0.74803149606299213" bottom="0.74803149606299213" header="0.31496062992125984" footer="0.31496062992125984"/>
  <pageSetup paperSize="9" scale="36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F14B-E72A-46E7-A2DC-86EAC66A4AC5}">
  <sheetPr>
    <pageSetUpPr fitToPage="1"/>
  </sheetPr>
  <dimension ref="B2:BY67"/>
  <sheetViews>
    <sheetView showGridLines="0" zoomScale="70" zoomScaleNormal="70" workbookViewId="0"/>
  </sheetViews>
  <sheetFormatPr defaultColWidth="9" defaultRowHeight="15" x14ac:dyDescent="0.45"/>
  <cols>
    <col min="1" max="1" width="1.69921875" style="89" customWidth="1"/>
    <col min="2" max="75" width="7.5" style="89" customWidth="1"/>
    <col min="76" max="76" width="9" style="89"/>
    <col min="77" max="77" width="9" style="89" hidden="1" customWidth="1"/>
    <col min="78" max="16384" width="9" style="89"/>
  </cols>
  <sheetData>
    <row r="2" spans="2:77" ht="22.8" x14ac:dyDescent="0.45">
      <c r="B2" s="1" t="s">
        <v>106</v>
      </c>
      <c r="J2" s="90" t="str">
        <f>TEXT(BY2,"yyyy年度")</f>
        <v>@対象年月</v>
      </c>
      <c r="BY2" s="91" t="s">
        <v>103</v>
      </c>
    </row>
    <row r="3" spans="2:77" x14ac:dyDescent="0.45">
      <c r="BY3" s="91" t="s">
        <v>172</v>
      </c>
    </row>
    <row r="4" spans="2:77" x14ac:dyDescent="0.45">
      <c r="BS4" s="6" t="s">
        <v>12</v>
      </c>
      <c r="BT4" s="221" t="str">
        <f>月報!S5</f>
        <v>@工場</v>
      </c>
      <c r="BU4" s="221"/>
      <c r="BV4" s="221"/>
    </row>
    <row r="5" spans="2:77" x14ac:dyDescent="0.45">
      <c r="BS5" s="6" t="s">
        <v>13</v>
      </c>
      <c r="BT5" s="221" t="str">
        <f>月報!S6</f>
        <v>@プラント</v>
      </c>
      <c r="BU5" s="221"/>
      <c r="BV5" s="221"/>
      <c r="BY5" s="91"/>
    </row>
    <row r="6" spans="2:77" x14ac:dyDescent="0.45">
      <c r="BS6" s="6" t="s">
        <v>15</v>
      </c>
      <c r="BT6" s="221" t="str">
        <f>月報!S7</f>
        <v>@工程</v>
      </c>
      <c r="BU6" s="221"/>
      <c r="BV6" s="221"/>
    </row>
    <row r="7" spans="2:77" x14ac:dyDescent="0.45">
      <c r="BS7" s="6" t="s">
        <v>17</v>
      </c>
      <c r="BT7" s="221" t="str">
        <f>月報!S8</f>
        <v>@職種</v>
      </c>
      <c r="BU7" s="221"/>
      <c r="BV7" s="221"/>
    </row>
    <row r="9" spans="2:77" ht="15.6" thickBot="1" x14ac:dyDescent="0.5"/>
    <row r="10" spans="2:77" ht="16.8" thickBot="1" x14ac:dyDescent="0.5">
      <c r="B10" s="4"/>
      <c r="C10" s="3"/>
      <c r="D10" s="3"/>
      <c r="E10" s="3"/>
      <c r="F10" s="3"/>
      <c r="G10" s="3"/>
      <c r="H10" s="3"/>
      <c r="I10" s="3"/>
      <c r="J10" s="3"/>
      <c r="K10" s="244" t="str">
        <f>TEXT(BY3,"0月")</f>
        <v>@年度開始月</v>
      </c>
      <c r="L10" s="223"/>
      <c r="M10" s="223"/>
      <c r="N10" s="223"/>
      <c r="O10" s="224"/>
      <c r="P10" s="222" t="e">
        <f>TEXT(IF($BY3+1&gt;12,$BY3+1-12,$BY3+1),"0月")</f>
        <v>#VALUE!</v>
      </c>
      <c r="Q10" s="223"/>
      <c r="R10" s="223"/>
      <c r="S10" s="223"/>
      <c r="T10" s="224"/>
      <c r="U10" s="222" t="e">
        <f>TEXT(IF($BY3+2&gt;12,$BY3+2-12,$BY3+2),"0月")</f>
        <v>#VALUE!</v>
      </c>
      <c r="V10" s="223"/>
      <c r="W10" s="223"/>
      <c r="X10" s="223"/>
      <c r="Y10" s="224"/>
      <c r="Z10" s="222" t="e">
        <f>TEXT(IF($BY3+3&gt;12,$BY3+3-12,$BY3+3),"0月")</f>
        <v>#VALUE!</v>
      </c>
      <c r="AA10" s="223"/>
      <c r="AB10" s="223"/>
      <c r="AC10" s="223"/>
      <c r="AD10" s="224"/>
      <c r="AE10" s="222" t="e">
        <f>TEXT(IF($BY3+4&gt;12,$BY3+4-12,$BY3+4),"0月")</f>
        <v>#VALUE!</v>
      </c>
      <c r="AF10" s="223"/>
      <c r="AG10" s="223"/>
      <c r="AH10" s="223"/>
      <c r="AI10" s="224"/>
      <c r="AJ10" s="222" t="e">
        <f>TEXT(IF($BY3+5&gt;12,$BY3+5-12,$BY3+5),"0月")</f>
        <v>#VALUE!</v>
      </c>
      <c r="AK10" s="223"/>
      <c r="AL10" s="223"/>
      <c r="AM10" s="223"/>
      <c r="AN10" s="224"/>
      <c r="AO10" s="222" t="e">
        <f>TEXT(IF($BY3+6&gt;12,$BY3+6-12,$BY3+6),"0月")</f>
        <v>#VALUE!</v>
      </c>
      <c r="AP10" s="223"/>
      <c r="AQ10" s="223"/>
      <c r="AR10" s="223"/>
      <c r="AS10" s="224"/>
      <c r="AT10" s="222" t="e">
        <f>TEXT(IF($BY3+7&gt;12,$BY3+7-12,$BY3+7),"0月")</f>
        <v>#VALUE!</v>
      </c>
      <c r="AU10" s="223"/>
      <c r="AV10" s="223"/>
      <c r="AW10" s="223"/>
      <c r="AX10" s="224"/>
      <c r="AY10" s="222" t="e">
        <f>TEXT(IF($BY3+8&gt;12,$BY3+8-12,$BY3+8),"0月")</f>
        <v>#VALUE!</v>
      </c>
      <c r="AZ10" s="223"/>
      <c r="BA10" s="223"/>
      <c r="BB10" s="223"/>
      <c r="BC10" s="224"/>
      <c r="BD10" s="222" t="e">
        <f>TEXT(IF($BY3+9&gt;12,$BY3+9-12,$BY3+9),"0月")</f>
        <v>#VALUE!</v>
      </c>
      <c r="BE10" s="223"/>
      <c r="BF10" s="223"/>
      <c r="BG10" s="223"/>
      <c r="BH10" s="224"/>
      <c r="BI10" s="222" t="e">
        <f>TEXT(IF($BY3+10&gt;12,$BY3+10-12,$BY3+10),"0月")</f>
        <v>#VALUE!</v>
      </c>
      <c r="BJ10" s="223"/>
      <c r="BK10" s="223"/>
      <c r="BL10" s="223"/>
      <c r="BM10" s="224"/>
      <c r="BN10" s="222" t="e">
        <f>TEXT(IF($BY3+11&gt;12,$BY3+11-12,$BY3+11),"0月")</f>
        <v>#VALUE!</v>
      </c>
      <c r="BO10" s="223"/>
      <c r="BP10" s="223"/>
      <c r="BQ10" s="223"/>
      <c r="BR10" s="224"/>
      <c r="BS10" s="222" t="s">
        <v>107</v>
      </c>
      <c r="BT10" s="223"/>
      <c r="BU10" s="223"/>
      <c r="BV10" s="223"/>
      <c r="BW10" s="224"/>
    </row>
    <row r="11" spans="2:77" ht="15.6" thickBot="1" x14ac:dyDescent="0.5">
      <c r="B11" s="10"/>
      <c r="C11" s="11"/>
      <c r="D11" s="11"/>
      <c r="E11" s="11"/>
      <c r="F11" s="11" t="s">
        <v>22</v>
      </c>
      <c r="G11" s="11"/>
      <c r="H11" s="11"/>
      <c r="I11" s="11"/>
      <c r="J11" s="11"/>
      <c r="K11" s="12" t="s">
        <v>23</v>
      </c>
      <c r="L11" s="13" t="s">
        <v>24</v>
      </c>
      <c r="M11" s="14" t="s">
        <v>25</v>
      </c>
      <c r="N11" s="15" t="s">
        <v>26</v>
      </c>
      <c r="O11" s="16" t="s">
        <v>27</v>
      </c>
      <c r="P11" s="12" t="s">
        <v>23</v>
      </c>
      <c r="Q11" s="13" t="s">
        <v>24</v>
      </c>
      <c r="R11" s="14" t="s">
        <v>25</v>
      </c>
      <c r="S11" s="15" t="s">
        <v>26</v>
      </c>
      <c r="T11" s="16" t="s">
        <v>27</v>
      </c>
      <c r="U11" s="12" t="s">
        <v>23</v>
      </c>
      <c r="V11" s="13" t="s">
        <v>24</v>
      </c>
      <c r="W11" s="14" t="s">
        <v>25</v>
      </c>
      <c r="X11" s="15" t="s">
        <v>26</v>
      </c>
      <c r="Y11" s="16" t="s">
        <v>27</v>
      </c>
      <c r="Z11" s="12" t="s">
        <v>23</v>
      </c>
      <c r="AA11" s="13" t="s">
        <v>24</v>
      </c>
      <c r="AB11" s="14" t="s">
        <v>25</v>
      </c>
      <c r="AC11" s="15" t="s">
        <v>26</v>
      </c>
      <c r="AD11" s="16" t="s">
        <v>27</v>
      </c>
      <c r="AE11" s="12" t="s">
        <v>23</v>
      </c>
      <c r="AF11" s="13" t="s">
        <v>24</v>
      </c>
      <c r="AG11" s="14" t="s">
        <v>25</v>
      </c>
      <c r="AH11" s="15" t="s">
        <v>26</v>
      </c>
      <c r="AI11" s="16" t="s">
        <v>27</v>
      </c>
      <c r="AJ11" s="12" t="s">
        <v>23</v>
      </c>
      <c r="AK11" s="13" t="s">
        <v>24</v>
      </c>
      <c r="AL11" s="14" t="s">
        <v>25</v>
      </c>
      <c r="AM11" s="15" t="s">
        <v>26</v>
      </c>
      <c r="AN11" s="16" t="s">
        <v>27</v>
      </c>
      <c r="AO11" s="12" t="s">
        <v>23</v>
      </c>
      <c r="AP11" s="13" t="s">
        <v>24</v>
      </c>
      <c r="AQ11" s="14" t="s">
        <v>25</v>
      </c>
      <c r="AR11" s="15" t="s">
        <v>26</v>
      </c>
      <c r="AS11" s="16" t="s">
        <v>27</v>
      </c>
      <c r="AT11" s="12" t="s">
        <v>23</v>
      </c>
      <c r="AU11" s="13" t="s">
        <v>24</v>
      </c>
      <c r="AV11" s="14" t="s">
        <v>25</v>
      </c>
      <c r="AW11" s="15" t="s">
        <v>26</v>
      </c>
      <c r="AX11" s="16" t="s">
        <v>27</v>
      </c>
      <c r="AY11" s="12" t="s">
        <v>23</v>
      </c>
      <c r="AZ11" s="13" t="s">
        <v>24</v>
      </c>
      <c r="BA11" s="14" t="s">
        <v>25</v>
      </c>
      <c r="BB11" s="15" t="s">
        <v>26</v>
      </c>
      <c r="BC11" s="16" t="s">
        <v>27</v>
      </c>
      <c r="BD11" s="12" t="s">
        <v>23</v>
      </c>
      <c r="BE11" s="13" t="s">
        <v>24</v>
      </c>
      <c r="BF11" s="14" t="s">
        <v>25</v>
      </c>
      <c r="BG11" s="15" t="s">
        <v>26</v>
      </c>
      <c r="BH11" s="16" t="s">
        <v>27</v>
      </c>
      <c r="BI11" s="12" t="s">
        <v>23</v>
      </c>
      <c r="BJ11" s="13" t="s">
        <v>24</v>
      </c>
      <c r="BK11" s="14" t="s">
        <v>25</v>
      </c>
      <c r="BL11" s="15" t="s">
        <v>26</v>
      </c>
      <c r="BM11" s="16" t="s">
        <v>27</v>
      </c>
      <c r="BN11" s="12" t="s">
        <v>23</v>
      </c>
      <c r="BO11" s="13" t="s">
        <v>24</v>
      </c>
      <c r="BP11" s="14" t="s">
        <v>25</v>
      </c>
      <c r="BQ11" s="15" t="s">
        <v>26</v>
      </c>
      <c r="BR11" s="16" t="s">
        <v>27</v>
      </c>
      <c r="BS11" s="18" t="s">
        <v>23</v>
      </c>
      <c r="BT11" s="19" t="s">
        <v>24</v>
      </c>
      <c r="BU11" s="20" t="s">
        <v>25</v>
      </c>
      <c r="BV11" s="21" t="s">
        <v>26</v>
      </c>
      <c r="BW11" s="22" t="s">
        <v>27</v>
      </c>
    </row>
    <row r="12" spans="2:77" ht="15.6" thickTop="1" x14ac:dyDescent="0.45">
      <c r="B12" s="231" t="s">
        <v>28</v>
      </c>
      <c r="C12" s="234" t="s">
        <v>29</v>
      </c>
      <c r="D12" s="235"/>
      <c r="E12" s="236"/>
      <c r="F12" s="213" t="s">
        <v>30</v>
      </c>
      <c r="G12" s="238"/>
      <c r="H12" s="238"/>
      <c r="I12" s="239"/>
      <c r="J12" s="23"/>
      <c r="K12" s="240" t="s">
        <v>108</v>
      </c>
      <c r="L12" s="160" t="s">
        <v>109</v>
      </c>
      <c r="M12" s="161" t="s">
        <v>110</v>
      </c>
      <c r="N12" s="161" t="s">
        <v>111</v>
      </c>
      <c r="O12" s="148" t="s">
        <v>112</v>
      </c>
      <c r="P12" s="159" t="s">
        <v>113</v>
      </c>
      <c r="Q12" s="160" t="s">
        <v>114</v>
      </c>
      <c r="R12" s="161" t="s">
        <v>115</v>
      </c>
      <c r="S12" s="161" t="s">
        <v>116</v>
      </c>
      <c r="T12" s="148" t="s">
        <v>117</v>
      </c>
      <c r="U12" s="159" t="s">
        <v>118</v>
      </c>
      <c r="V12" s="160" t="s">
        <v>119</v>
      </c>
      <c r="W12" s="161" t="s">
        <v>120</v>
      </c>
      <c r="X12" s="161" t="s">
        <v>121</v>
      </c>
      <c r="Y12" s="148" t="s">
        <v>122</v>
      </c>
      <c r="Z12" s="159" t="s">
        <v>123</v>
      </c>
      <c r="AA12" s="160" t="s">
        <v>124</v>
      </c>
      <c r="AB12" s="161" t="s">
        <v>125</v>
      </c>
      <c r="AC12" s="161" t="s">
        <v>126</v>
      </c>
      <c r="AD12" s="148" t="s">
        <v>127</v>
      </c>
      <c r="AE12" s="159" t="s">
        <v>128</v>
      </c>
      <c r="AF12" s="160" t="s">
        <v>129</v>
      </c>
      <c r="AG12" s="161" t="s">
        <v>130</v>
      </c>
      <c r="AH12" s="161" t="s">
        <v>131</v>
      </c>
      <c r="AI12" s="148" t="s">
        <v>132</v>
      </c>
      <c r="AJ12" s="159" t="s">
        <v>133</v>
      </c>
      <c r="AK12" s="160" t="s">
        <v>134</v>
      </c>
      <c r="AL12" s="161" t="s">
        <v>135</v>
      </c>
      <c r="AM12" s="161" t="s">
        <v>136</v>
      </c>
      <c r="AN12" s="148" t="s">
        <v>137</v>
      </c>
      <c r="AO12" s="159" t="s">
        <v>138</v>
      </c>
      <c r="AP12" s="160" t="s">
        <v>139</v>
      </c>
      <c r="AQ12" s="161" t="s">
        <v>140</v>
      </c>
      <c r="AR12" s="161" t="s">
        <v>141</v>
      </c>
      <c r="AS12" s="148" t="s">
        <v>142</v>
      </c>
      <c r="AT12" s="159" t="s">
        <v>143</v>
      </c>
      <c r="AU12" s="160" t="s">
        <v>144</v>
      </c>
      <c r="AV12" s="161" t="s">
        <v>145</v>
      </c>
      <c r="AW12" s="161" t="s">
        <v>146</v>
      </c>
      <c r="AX12" s="148" t="s">
        <v>147</v>
      </c>
      <c r="AY12" s="159" t="s">
        <v>148</v>
      </c>
      <c r="AZ12" s="160" t="s">
        <v>149</v>
      </c>
      <c r="BA12" s="161" t="s">
        <v>150</v>
      </c>
      <c r="BB12" s="161" t="s">
        <v>151</v>
      </c>
      <c r="BC12" s="148" t="s">
        <v>152</v>
      </c>
      <c r="BD12" s="159" t="s">
        <v>153</v>
      </c>
      <c r="BE12" s="160" t="s">
        <v>154</v>
      </c>
      <c r="BF12" s="161" t="s">
        <v>155</v>
      </c>
      <c r="BG12" s="161" t="s">
        <v>156</v>
      </c>
      <c r="BH12" s="148" t="s">
        <v>157</v>
      </c>
      <c r="BI12" s="159" t="s">
        <v>158</v>
      </c>
      <c r="BJ12" s="160" t="s">
        <v>159</v>
      </c>
      <c r="BK12" s="161" t="s">
        <v>160</v>
      </c>
      <c r="BL12" s="161" t="s">
        <v>161</v>
      </c>
      <c r="BM12" s="148" t="s">
        <v>162</v>
      </c>
      <c r="BN12" s="159" t="s">
        <v>163</v>
      </c>
      <c r="BO12" s="160" t="s">
        <v>164</v>
      </c>
      <c r="BP12" s="161" t="s">
        <v>165</v>
      </c>
      <c r="BQ12" s="161" t="s">
        <v>166</v>
      </c>
      <c r="BR12" s="148" t="s">
        <v>167</v>
      </c>
      <c r="BS12" s="159" t="str">
        <f>月報!R14</f>
        <v>@集計項目出力11</v>
      </c>
      <c r="BT12" s="160" t="str">
        <f>月報!S14</f>
        <v>@集計項目出力12</v>
      </c>
      <c r="BU12" s="161" t="str">
        <f>月報!T14</f>
        <v>@集計項目出力13</v>
      </c>
      <c r="BV12" s="161" t="str">
        <f>月報!U14</f>
        <v>@集計項目出力14</v>
      </c>
      <c r="BW12" s="148" t="str">
        <f>月報!V14</f>
        <v>@集計項目出力15</v>
      </c>
    </row>
    <row r="13" spans="2:77" x14ac:dyDescent="0.45">
      <c r="B13" s="232"/>
      <c r="C13" s="195"/>
      <c r="D13" s="196"/>
      <c r="E13" s="237"/>
      <c r="F13" s="183"/>
      <c r="G13" s="184"/>
      <c r="H13" s="184"/>
      <c r="I13" s="185"/>
      <c r="J13" s="25"/>
      <c r="K13" s="114"/>
      <c r="L13" s="115"/>
      <c r="M13" s="116"/>
      <c r="N13" s="116"/>
      <c r="O13" s="105"/>
      <c r="P13" s="114"/>
      <c r="Q13" s="115"/>
      <c r="R13" s="116"/>
      <c r="S13" s="116"/>
      <c r="T13" s="105"/>
      <c r="U13" s="114"/>
      <c r="V13" s="115"/>
      <c r="W13" s="116"/>
      <c r="X13" s="116"/>
      <c r="Y13" s="105"/>
      <c r="Z13" s="114"/>
      <c r="AA13" s="115"/>
      <c r="AB13" s="116"/>
      <c r="AC13" s="116"/>
      <c r="AD13" s="105"/>
      <c r="AE13" s="114"/>
      <c r="AF13" s="115"/>
      <c r="AG13" s="116"/>
      <c r="AH13" s="116"/>
      <c r="AI13" s="105"/>
      <c r="AJ13" s="114"/>
      <c r="AK13" s="115"/>
      <c r="AL13" s="116"/>
      <c r="AM13" s="116"/>
      <c r="AN13" s="105"/>
      <c r="AO13" s="114"/>
      <c r="AP13" s="115"/>
      <c r="AQ13" s="116"/>
      <c r="AR13" s="116"/>
      <c r="AS13" s="105"/>
      <c r="AT13" s="114"/>
      <c r="AU13" s="115"/>
      <c r="AV13" s="116"/>
      <c r="AW13" s="116"/>
      <c r="AX13" s="105"/>
      <c r="AY13" s="114"/>
      <c r="AZ13" s="115"/>
      <c r="BA13" s="116"/>
      <c r="BB13" s="116"/>
      <c r="BC13" s="105"/>
      <c r="BD13" s="114"/>
      <c r="BE13" s="115"/>
      <c r="BF13" s="116"/>
      <c r="BG13" s="116"/>
      <c r="BH13" s="105"/>
      <c r="BI13" s="114"/>
      <c r="BJ13" s="115"/>
      <c r="BK13" s="116"/>
      <c r="BL13" s="116"/>
      <c r="BM13" s="105"/>
      <c r="BN13" s="114"/>
      <c r="BO13" s="115"/>
      <c r="BP13" s="116"/>
      <c r="BQ13" s="116"/>
      <c r="BR13" s="105"/>
      <c r="BS13" s="114"/>
      <c r="BT13" s="115"/>
      <c r="BU13" s="116"/>
      <c r="BV13" s="116"/>
      <c r="BW13" s="105"/>
    </row>
    <row r="14" spans="2:77" x14ac:dyDescent="0.45">
      <c r="B14" s="232"/>
      <c r="C14" s="195"/>
      <c r="D14" s="196"/>
      <c r="E14" s="237"/>
      <c r="F14" s="182" t="s">
        <v>33</v>
      </c>
      <c r="G14" s="166"/>
      <c r="H14" s="166"/>
      <c r="I14" s="167"/>
      <c r="J14" s="23"/>
      <c r="K14" s="114"/>
      <c r="L14" s="115"/>
      <c r="M14" s="116"/>
      <c r="N14" s="116"/>
      <c r="O14" s="105"/>
      <c r="P14" s="114"/>
      <c r="Q14" s="115"/>
      <c r="R14" s="116"/>
      <c r="S14" s="116"/>
      <c r="T14" s="105"/>
      <c r="U14" s="114"/>
      <c r="V14" s="115"/>
      <c r="W14" s="116"/>
      <c r="X14" s="116"/>
      <c r="Y14" s="105"/>
      <c r="Z14" s="114"/>
      <c r="AA14" s="115"/>
      <c r="AB14" s="116"/>
      <c r="AC14" s="116"/>
      <c r="AD14" s="105"/>
      <c r="AE14" s="114"/>
      <c r="AF14" s="115"/>
      <c r="AG14" s="116"/>
      <c r="AH14" s="116"/>
      <c r="AI14" s="105"/>
      <c r="AJ14" s="114"/>
      <c r="AK14" s="115"/>
      <c r="AL14" s="116"/>
      <c r="AM14" s="116"/>
      <c r="AN14" s="105"/>
      <c r="AO14" s="114"/>
      <c r="AP14" s="115"/>
      <c r="AQ14" s="116"/>
      <c r="AR14" s="116"/>
      <c r="AS14" s="105"/>
      <c r="AT14" s="114"/>
      <c r="AU14" s="115"/>
      <c r="AV14" s="116"/>
      <c r="AW14" s="116"/>
      <c r="AX14" s="105"/>
      <c r="AY14" s="114"/>
      <c r="AZ14" s="115"/>
      <c r="BA14" s="116"/>
      <c r="BB14" s="116"/>
      <c r="BC14" s="105"/>
      <c r="BD14" s="114"/>
      <c r="BE14" s="115"/>
      <c r="BF14" s="116"/>
      <c r="BG14" s="116"/>
      <c r="BH14" s="105"/>
      <c r="BI14" s="114"/>
      <c r="BJ14" s="115"/>
      <c r="BK14" s="116"/>
      <c r="BL14" s="116"/>
      <c r="BM14" s="105"/>
      <c r="BN14" s="114"/>
      <c r="BO14" s="115"/>
      <c r="BP14" s="116"/>
      <c r="BQ14" s="116"/>
      <c r="BR14" s="105"/>
      <c r="BS14" s="114">
        <f>月報!R16</f>
        <v>0</v>
      </c>
      <c r="BT14" s="115">
        <f>月報!S16</f>
        <v>0</v>
      </c>
      <c r="BU14" s="116">
        <f>月報!T16</f>
        <v>0</v>
      </c>
      <c r="BV14" s="116">
        <f>月報!U16</f>
        <v>0</v>
      </c>
      <c r="BW14" s="105">
        <f>月報!V16</f>
        <v>0</v>
      </c>
    </row>
    <row r="15" spans="2:77" x14ac:dyDescent="0.45">
      <c r="B15" s="232"/>
      <c r="C15" s="195"/>
      <c r="D15" s="196"/>
      <c r="E15" s="237"/>
      <c r="F15" s="183"/>
      <c r="G15" s="184"/>
      <c r="H15" s="184"/>
      <c r="I15" s="185"/>
      <c r="J15" s="25"/>
      <c r="K15" s="114"/>
      <c r="L15" s="115"/>
      <c r="M15" s="116"/>
      <c r="N15" s="116"/>
      <c r="O15" s="105"/>
      <c r="P15" s="114"/>
      <c r="Q15" s="115"/>
      <c r="R15" s="116"/>
      <c r="S15" s="116"/>
      <c r="T15" s="105"/>
      <c r="U15" s="114"/>
      <c r="V15" s="115"/>
      <c r="W15" s="116"/>
      <c r="X15" s="116"/>
      <c r="Y15" s="105"/>
      <c r="Z15" s="114"/>
      <c r="AA15" s="115"/>
      <c r="AB15" s="116"/>
      <c r="AC15" s="116"/>
      <c r="AD15" s="105"/>
      <c r="AE15" s="114"/>
      <c r="AF15" s="115"/>
      <c r="AG15" s="116"/>
      <c r="AH15" s="116"/>
      <c r="AI15" s="105"/>
      <c r="AJ15" s="114"/>
      <c r="AK15" s="115"/>
      <c r="AL15" s="116"/>
      <c r="AM15" s="116"/>
      <c r="AN15" s="105"/>
      <c r="AO15" s="114"/>
      <c r="AP15" s="115"/>
      <c r="AQ15" s="116"/>
      <c r="AR15" s="116"/>
      <c r="AS15" s="105"/>
      <c r="AT15" s="114"/>
      <c r="AU15" s="115"/>
      <c r="AV15" s="116"/>
      <c r="AW15" s="116"/>
      <c r="AX15" s="105"/>
      <c r="AY15" s="114"/>
      <c r="AZ15" s="115"/>
      <c r="BA15" s="116"/>
      <c r="BB15" s="116"/>
      <c r="BC15" s="105"/>
      <c r="BD15" s="114"/>
      <c r="BE15" s="115"/>
      <c r="BF15" s="116"/>
      <c r="BG15" s="116"/>
      <c r="BH15" s="105"/>
      <c r="BI15" s="114"/>
      <c r="BJ15" s="115"/>
      <c r="BK15" s="116"/>
      <c r="BL15" s="116"/>
      <c r="BM15" s="105"/>
      <c r="BN15" s="114"/>
      <c r="BO15" s="115"/>
      <c r="BP15" s="116"/>
      <c r="BQ15" s="116"/>
      <c r="BR15" s="105"/>
      <c r="BS15" s="114"/>
      <c r="BT15" s="115"/>
      <c r="BU15" s="116"/>
      <c r="BV15" s="116"/>
      <c r="BW15" s="105"/>
    </row>
    <row r="16" spans="2:77" x14ac:dyDescent="0.45">
      <c r="B16" s="232"/>
      <c r="C16" s="28"/>
      <c r="D16" s="3"/>
      <c r="E16" s="3"/>
      <c r="F16" s="200" t="s">
        <v>34</v>
      </c>
      <c r="G16" s="200"/>
      <c r="H16" s="200"/>
      <c r="I16" s="200"/>
      <c r="J16" s="29"/>
      <c r="K16" s="114"/>
      <c r="L16" s="115"/>
      <c r="M16" s="116"/>
      <c r="N16" s="116"/>
      <c r="O16" s="105"/>
      <c r="P16" s="114"/>
      <c r="Q16" s="115"/>
      <c r="R16" s="116"/>
      <c r="S16" s="116"/>
      <c r="T16" s="105"/>
      <c r="U16" s="114"/>
      <c r="V16" s="115"/>
      <c r="W16" s="116"/>
      <c r="X16" s="116"/>
      <c r="Y16" s="105"/>
      <c r="Z16" s="114"/>
      <c r="AA16" s="115"/>
      <c r="AB16" s="116"/>
      <c r="AC16" s="116"/>
      <c r="AD16" s="105"/>
      <c r="AE16" s="114"/>
      <c r="AF16" s="115"/>
      <c r="AG16" s="116"/>
      <c r="AH16" s="116"/>
      <c r="AI16" s="105"/>
      <c r="AJ16" s="114"/>
      <c r="AK16" s="115"/>
      <c r="AL16" s="116"/>
      <c r="AM16" s="116"/>
      <c r="AN16" s="105"/>
      <c r="AO16" s="114"/>
      <c r="AP16" s="115"/>
      <c r="AQ16" s="116"/>
      <c r="AR16" s="116"/>
      <c r="AS16" s="105"/>
      <c r="AT16" s="114"/>
      <c r="AU16" s="115"/>
      <c r="AV16" s="116"/>
      <c r="AW16" s="116"/>
      <c r="AX16" s="105"/>
      <c r="AY16" s="114"/>
      <c r="AZ16" s="115"/>
      <c r="BA16" s="116"/>
      <c r="BB16" s="116"/>
      <c r="BC16" s="105"/>
      <c r="BD16" s="114"/>
      <c r="BE16" s="115"/>
      <c r="BF16" s="116"/>
      <c r="BG16" s="116"/>
      <c r="BH16" s="105"/>
      <c r="BI16" s="114"/>
      <c r="BJ16" s="115"/>
      <c r="BK16" s="116"/>
      <c r="BL16" s="116"/>
      <c r="BM16" s="105"/>
      <c r="BN16" s="114"/>
      <c r="BO16" s="115"/>
      <c r="BP16" s="116"/>
      <c r="BQ16" s="116"/>
      <c r="BR16" s="105"/>
      <c r="BS16" s="114">
        <f>月報!R18</f>
        <v>0</v>
      </c>
      <c r="BT16" s="115">
        <f>月報!S18</f>
        <v>0</v>
      </c>
      <c r="BU16" s="116">
        <f>月報!T18</f>
        <v>0</v>
      </c>
      <c r="BV16" s="116">
        <f>月報!U18</f>
        <v>0</v>
      </c>
      <c r="BW16" s="105">
        <f>月報!V18</f>
        <v>0</v>
      </c>
    </row>
    <row r="17" spans="2:75" x14ac:dyDescent="0.45">
      <c r="B17" s="232"/>
      <c r="C17" s="30"/>
      <c r="D17" s="31"/>
      <c r="E17" s="31"/>
      <c r="F17" s="201"/>
      <c r="G17" s="201"/>
      <c r="H17" s="201"/>
      <c r="I17" s="226"/>
      <c r="J17" s="32"/>
      <c r="K17" s="114"/>
      <c r="L17" s="115"/>
      <c r="M17" s="116"/>
      <c r="N17" s="116"/>
      <c r="O17" s="105"/>
      <c r="P17" s="114"/>
      <c r="Q17" s="115"/>
      <c r="R17" s="116"/>
      <c r="S17" s="116"/>
      <c r="T17" s="105"/>
      <c r="U17" s="114"/>
      <c r="V17" s="115"/>
      <c r="W17" s="116"/>
      <c r="X17" s="116"/>
      <c r="Y17" s="105"/>
      <c r="Z17" s="114"/>
      <c r="AA17" s="115"/>
      <c r="AB17" s="116"/>
      <c r="AC17" s="116"/>
      <c r="AD17" s="105"/>
      <c r="AE17" s="114"/>
      <c r="AF17" s="115"/>
      <c r="AG17" s="116"/>
      <c r="AH17" s="116"/>
      <c r="AI17" s="105"/>
      <c r="AJ17" s="114"/>
      <c r="AK17" s="115"/>
      <c r="AL17" s="116"/>
      <c r="AM17" s="116"/>
      <c r="AN17" s="105"/>
      <c r="AO17" s="114"/>
      <c r="AP17" s="115"/>
      <c r="AQ17" s="116"/>
      <c r="AR17" s="116"/>
      <c r="AS17" s="105"/>
      <c r="AT17" s="114"/>
      <c r="AU17" s="115"/>
      <c r="AV17" s="116"/>
      <c r="AW17" s="116"/>
      <c r="AX17" s="105"/>
      <c r="AY17" s="114"/>
      <c r="AZ17" s="115"/>
      <c r="BA17" s="116"/>
      <c r="BB17" s="116"/>
      <c r="BC17" s="105"/>
      <c r="BD17" s="114"/>
      <c r="BE17" s="115"/>
      <c r="BF17" s="116"/>
      <c r="BG17" s="116"/>
      <c r="BH17" s="105"/>
      <c r="BI17" s="114"/>
      <c r="BJ17" s="115"/>
      <c r="BK17" s="116"/>
      <c r="BL17" s="116"/>
      <c r="BM17" s="105"/>
      <c r="BN17" s="114"/>
      <c r="BO17" s="115"/>
      <c r="BP17" s="116"/>
      <c r="BQ17" s="116"/>
      <c r="BR17" s="105"/>
      <c r="BS17" s="114"/>
      <c r="BT17" s="115"/>
      <c r="BU17" s="116"/>
      <c r="BV17" s="116"/>
      <c r="BW17" s="105"/>
    </row>
    <row r="18" spans="2:75" x14ac:dyDescent="0.45">
      <c r="B18" s="232"/>
      <c r="C18" s="203" t="s">
        <v>35</v>
      </c>
      <c r="D18" s="204"/>
      <c r="E18" s="204"/>
      <c r="F18" s="205"/>
      <c r="G18" s="205"/>
      <c r="H18" s="205"/>
      <c r="I18" s="205"/>
      <c r="J18" s="33"/>
      <c r="K18" s="114"/>
      <c r="L18" s="115"/>
      <c r="M18" s="116"/>
      <c r="N18" s="116"/>
      <c r="O18" s="105"/>
      <c r="P18" s="114"/>
      <c r="Q18" s="115"/>
      <c r="R18" s="116"/>
      <c r="S18" s="116"/>
      <c r="T18" s="105"/>
      <c r="U18" s="114"/>
      <c r="V18" s="115"/>
      <c r="W18" s="116"/>
      <c r="X18" s="116"/>
      <c r="Y18" s="105"/>
      <c r="Z18" s="114"/>
      <c r="AA18" s="115"/>
      <c r="AB18" s="116"/>
      <c r="AC18" s="116"/>
      <c r="AD18" s="105"/>
      <c r="AE18" s="114"/>
      <c r="AF18" s="115"/>
      <c r="AG18" s="116"/>
      <c r="AH18" s="116"/>
      <c r="AI18" s="105"/>
      <c r="AJ18" s="114"/>
      <c r="AK18" s="115"/>
      <c r="AL18" s="116"/>
      <c r="AM18" s="116"/>
      <c r="AN18" s="105"/>
      <c r="AO18" s="114"/>
      <c r="AP18" s="115"/>
      <c r="AQ18" s="116"/>
      <c r="AR18" s="116"/>
      <c r="AS18" s="105"/>
      <c r="AT18" s="114"/>
      <c r="AU18" s="115"/>
      <c r="AV18" s="116"/>
      <c r="AW18" s="116"/>
      <c r="AX18" s="105"/>
      <c r="AY18" s="114"/>
      <c r="AZ18" s="115"/>
      <c r="BA18" s="116"/>
      <c r="BB18" s="116"/>
      <c r="BC18" s="105"/>
      <c r="BD18" s="114"/>
      <c r="BE18" s="115"/>
      <c r="BF18" s="116"/>
      <c r="BG18" s="116"/>
      <c r="BH18" s="105"/>
      <c r="BI18" s="114"/>
      <c r="BJ18" s="115"/>
      <c r="BK18" s="116"/>
      <c r="BL18" s="116"/>
      <c r="BM18" s="105"/>
      <c r="BN18" s="114"/>
      <c r="BO18" s="115"/>
      <c r="BP18" s="116"/>
      <c r="BQ18" s="116"/>
      <c r="BR18" s="105"/>
      <c r="BS18" s="114">
        <f>月報!R20</f>
        <v>0</v>
      </c>
      <c r="BT18" s="115">
        <f>月報!S20</f>
        <v>0</v>
      </c>
      <c r="BU18" s="116">
        <f>月報!T20</f>
        <v>0</v>
      </c>
      <c r="BV18" s="116">
        <f>月報!U20</f>
        <v>0</v>
      </c>
      <c r="BW18" s="105">
        <f>月報!V20</f>
        <v>0</v>
      </c>
    </row>
    <row r="19" spans="2:75" ht="15.6" thickBot="1" x14ac:dyDescent="0.5">
      <c r="B19" s="233"/>
      <c r="C19" s="97"/>
      <c r="D19" s="98"/>
      <c r="E19" s="98"/>
      <c r="F19" s="98"/>
      <c r="G19" s="98"/>
      <c r="H19" s="98"/>
      <c r="I19" s="98"/>
      <c r="J19" s="34"/>
      <c r="K19" s="100"/>
      <c r="L19" s="102"/>
      <c r="M19" s="104"/>
      <c r="N19" s="104"/>
      <c r="O19" s="117"/>
      <c r="P19" s="100"/>
      <c r="Q19" s="102"/>
      <c r="R19" s="104"/>
      <c r="S19" s="104"/>
      <c r="T19" s="117"/>
      <c r="U19" s="100"/>
      <c r="V19" s="102"/>
      <c r="W19" s="104"/>
      <c r="X19" s="104"/>
      <c r="Y19" s="117"/>
      <c r="Z19" s="100"/>
      <c r="AA19" s="102"/>
      <c r="AB19" s="104"/>
      <c r="AC19" s="104"/>
      <c r="AD19" s="117"/>
      <c r="AE19" s="100"/>
      <c r="AF19" s="102"/>
      <c r="AG19" s="104"/>
      <c r="AH19" s="104"/>
      <c r="AI19" s="117"/>
      <c r="AJ19" s="100"/>
      <c r="AK19" s="102"/>
      <c r="AL19" s="104"/>
      <c r="AM19" s="104"/>
      <c r="AN19" s="117"/>
      <c r="AO19" s="100"/>
      <c r="AP19" s="102"/>
      <c r="AQ19" s="104"/>
      <c r="AR19" s="104"/>
      <c r="AS19" s="117"/>
      <c r="AT19" s="100"/>
      <c r="AU19" s="102"/>
      <c r="AV19" s="104"/>
      <c r="AW19" s="104"/>
      <c r="AX19" s="117"/>
      <c r="AY19" s="100"/>
      <c r="AZ19" s="102"/>
      <c r="BA19" s="104"/>
      <c r="BB19" s="104"/>
      <c r="BC19" s="117"/>
      <c r="BD19" s="100"/>
      <c r="BE19" s="102"/>
      <c r="BF19" s="104"/>
      <c r="BG19" s="104"/>
      <c r="BH19" s="117"/>
      <c r="BI19" s="100"/>
      <c r="BJ19" s="102"/>
      <c r="BK19" s="104"/>
      <c r="BL19" s="104"/>
      <c r="BM19" s="117"/>
      <c r="BN19" s="100"/>
      <c r="BO19" s="102"/>
      <c r="BP19" s="104"/>
      <c r="BQ19" s="104"/>
      <c r="BR19" s="117"/>
      <c r="BS19" s="100"/>
      <c r="BT19" s="102"/>
      <c r="BU19" s="104"/>
      <c r="BV19" s="104"/>
      <c r="BW19" s="117"/>
    </row>
    <row r="20" spans="2:75" x14ac:dyDescent="0.45">
      <c r="B20" s="208" t="s">
        <v>36</v>
      </c>
      <c r="C20" s="210" t="s">
        <v>37</v>
      </c>
      <c r="D20" s="211"/>
      <c r="E20" s="212"/>
      <c r="F20" s="216" t="s">
        <v>38</v>
      </c>
      <c r="G20" s="217"/>
      <c r="H20" s="217"/>
      <c r="I20" s="218"/>
      <c r="J20" s="35"/>
      <c r="K20" s="159"/>
      <c r="L20" s="160"/>
      <c r="M20" s="161"/>
      <c r="N20" s="161"/>
      <c r="O20" s="148"/>
      <c r="P20" s="159"/>
      <c r="Q20" s="160"/>
      <c r="R20" s="161"/>
      <c r="S20" s="161"/>
      <c r="T20" s="148"/>
      <c r="U20" s="159"/>
      <c r="V20" s="160"/>
      <c r="W20" s="161"/>
      <c r="X20" s="161"/>
      <c r="Y20" s="148"/>
      <c r="Z20" s="159"/>
      <c r="AA20" s="160"/>
      <c r="AB20" s="161"/>
      <c r="AC20" s="161"/>
      <c r="AD20" s="148"/>
      <c r="AE20" s="159"/>
      <c r="AF20" s="160"/>
      <c r="AG20" s="161"/>
      <c r="AH20" s="161"/>
      <c r="AI20" s="148"/>
      <c r="AJ20" s="159"/>
      <c r="AK20" s="160"/>
      <c r="AL20" s="161"/>
      <c r="AM20" s="161"/>
      <c r="AN20" s="148"/>
      <c r="AO20" s="159"/>
      <c r="AP20" s="160"/>
      <c r="AQ20" s="161"/>
      <c r="AR20" s="161"/>
      <c r="AS20" s="148"/>
      <c r="AT20" s="159"/>
      <c r="AU20" s="160"/>
      <c r="AV20" s="161"/>
      <c r="AW20" s="161"/>
      <c r="AX20" s="148"/>
      <c r="AY20" s="159"/>
      <c r="AZ20" s="160"/>
      <c r="BA20" s="161"/>
      <c r="BB20" s="161"/>
      <c r="BC20" s="148"/>
      <c r="BD20" s="159"/>
      <c r="BE20" s="160"/>
      <c r="BF20" s="161"/>
      <c r="BG20" s="161"/>
      <c r="BH20" s="148"/>
      <c r="BI20" s="159"/>
      <c r="BJ20" s="160"/>
      <c r="BK20" s="161"/>
      <c r="BL20" s="161"/>
      <c r="BM20" s="148"/>
      <c r="BN20" s="159"/>
      <c r="BO20" s="160"/>
      <c r="BP20" s="161"/>
      <c r="BQ20" s="161"/>
      <c r="BR20" s="148"/>
      <c r="BS20" s="159">
        <f>月報!R22</f>
        <v>0</v>
      </c>
      <c r="BT20" s="160">
        <f>月報!S22</f>
        <v>0</v>
      </c>
      <c r="BU20" s="161">
        <f>月報!T22</f>
        <v>0</v>
      </c>
      <c r="BV20" s="161">
        <f>月報!U22</f>
        <v>0</v>
      </c>
      <c r="BW20" s="148">
        <f>月報!V22</f>
        <v>0</v>
      </c>
    </row>
    <row r="21" spans="2:75" x14ac:dyDescent="0.45">
      <c r="B21" s="176"/>
      <c r="C21" s="213"/>
      <c r="D21" s="214"/>
      <c r="E21" s="215"/>
      <c r="F21" s="206"/>
      <c r="G21" s="207"/>
      <c r="H21" s="207"/>
      <c r="I21" s="207"/>
      <c r="J21" s="36"/>
      <c r="K21" s="114"/>
      <c r="L21" s="115"/>
      <c r="M21" s="116"/>
      <c r="N21" s="116"/>
      <c r="O21" s="105"/>
      <c r="P21" s="114"/>
      <c r="Q21" s="115"/>
      <c r="R21" s="116"/>
      <c r="S21" s="116"/>
      <c r="T21" s="105"/>
      <c r="U21" s="114"/>
      <c r="V21" s="115"/>
      <c r="W21" s="116"/>
      <c r="X21" s="116"/>
      <c r="Y21" s="105"/>
      <c r="Z21" s="114"/>
      <c r="AA21" s="115"/>
      <c r="AB21" s="116"/>
      <c r="AC21" s="116"/>
      <c r="AD21" s="105"/>
      <c r="AE21" s="114"/>
      <c r="AF21" s="115"/>
      <c r="AG21" s="116"/>
      <c r="AH21" s="116"/>
      <c r="AI21" s="105"/>
      <c r="AJ21" s="114"/>
      <c r="AK21" s="115"/>
      <c r="AL21" s="116"/>
      <c r="AM21" s="116"/>
      <c r="AN21" s="105"/>
      <c r="AO21" s="114"/>
      <c r="AP21" s="115"/>
      <c r="AQ21" s="116"/>
      <c r="AR21" s="116"/>
      <c r="AS21" s="105"/>
      <c r="AT21" s="114"/>
      <c r="AU21" s="115"/>
      <c r="AV21" s="116"/>
      <c r="AW21" s="116"/>
      <c r="AX21" s="105"/>
      <c r="AY21" s="114"/>
      <c r="AZ21" s="115"/>
      <c r="BA21" s="116"/>
      <c r="BB21" s="116"/>
      <c r="BC21" s="105"/>
      <c r="BD21" s="114"/>
      <c r="BE21" s="115"/>
      <c r="BF21" s="116"/>
      <c r="BG21" s="116"/>
      <c r="BH21" s="105"/>
      <c r="BI21" s="114"/>
      <c r="BJ21" s="115"/>
      <c r="BK21" s="116"/>
      <c r="BL21" s="116"/>
      <c r="BM21" s="105"/>
      <c r="BN21" s="114"/>
      <c r="BO21" s="115"/>
      <c r="BP21" s="116"/>
      <c r="BQ21" s="116"/>
      <c r="BR21" s="105"/>
      <c r="BS21" s="114"/>
      <c r="BT21" s="115"/>
      <c r="BU21" s="116"/>
      <c r="BV21" s="116"/>
      <c r="BW21" s="105"/>
    </row>
    <row r="22" spans="2:75" x14ac:dyDescent="0.45">
      <c r="B22" s="176"/>
      <c r="C22" s="213"/>
      <c r="D22" s="214"/>
      <c r="E22" s="215"/>
      <c r="F22" s="203" t="s">
        <v>39</v>
      </c>
      <c r="G22" s="204"/>
      <c r="H22" s="204"/>
      <c r="I22" s="205"/>
      <c r="J22" s="35"/>
      <c r="K22" s="114"/>
      <c r="L22" s="115"/>
      <c r="M22" s="116"/>
      <c r="N22" s="116"/>
      <c r="O22" s="105"/>
      <c r="P22" s="114"/>
      <c r="Q22" s="115"/>
      <c r="R22" s="116"/>
      <c r="S22" s="116"/>
      <c r="T22" s="105"/>
      <c r="U22" s="114"/>
      <c r="V22" s="115"/>
      <c r="W22" s="116"/>
      <c r="X22" s="116"/>
      <c r="Y22" s="105"/>
      <c r="Z22" s="114"/>
      <c r="AA22" s="115"/>
      <c r="AB22" s="116"/>
      <c r="AC22" s="116"/>
      <c r="AD22" s="105"/>
      <c r="AE22" s="114"/>
      <c r="AF22" s="115"/>
      <c r="AG22" s="116"/>
      <c r="AH22" s="116"/>
      <c r="AI22" s="105"/>
      <c r="AJ22" s="114"/>
      <c r="AK22" s="115"/>
      <c r="AL22" s="116"/>
      <c r="AM22" s="116"/>
      <c r="AN22" s="105"/>
      <c r="AO22" s="114"/>
      <c r="AP22" s="115"/>
      <c r="AQ22" s="116"/>
      <c r="AR22" s="116"/>
      <c r="AS22" s="105"/>
      <c r="AT22" s="114"/>
      <c r="AU22" s="115"/>
      <c r="AV22" s="116"/>
      <c r="AW22" s="116"/>
      <c r="AX22" s="105"/>
      <c r="AY22" s="114"/>
      <c r="AZ22" s="115"/>
      <c r="BA22" s="116"/>
      <c r="BB22" s="116"/>
      <c r="BC22" s="105"/>
      <c r="BD22" s="114"/>
      <c r="BE22" s="115"/>
      <c r="BF22" s="116"/>
      <c r="BG22" s="116"/>
      <c r="BH22" s="105"/>
      <c r="BI22" s="114"/>
      <c r="BJ22" s="115"/>
      <c r="BK22" s="116"/>
      <c r="BL22" s="116"/>
      <c r="BM22" s="105"/>
      <c r="BN22" s="114"/>
      <c r="BO22" s="115"/>
      <c r="BP22" s="116"/>
      <c r="BQ22" s="116"/>
      <c r="BR22" s="105"/>
      <c r="BS22" s="114">
        <f>月報!R24</f>
        <v>0</v>
      </c>
      <c r="BT22" s="115">
        <f>月報!S24</f>
        <v>0</v>
      </c>
      <c r="BU22" s="116">
        <f>月報!T24</f>
        <v>0</v>
      </c>
      <c r="BV22" s="116">
        <f>月報!U24</f>
        <v>0</v>
      </c>
      <c r="BW22" s="105">
        <f>月報!V24</f>
        <v>0</v>
      </c>
    </row>
    <row r="23" spans="2:75" x14ac:dyDescent="0.45">
      <c r="B23" s="176"/>
      <c r="C23" s="213"/>
      <c r="D23" s="214"/>
      <c r="E23" s="215"/>
      <c r="F23" s="206"/>
      <c r="G23" s="207"/>
      <c r="H23" s="207"/>
      <c r="I23" s="207"/>
      <c r="J23" s="36"/>
      <c r="K23" s="114"/>
      <c r="L23" s="115"/>
      <c r="M23" s="116"/>
      <c r="N23" s="116"/>
      <c r="O23" s="105"/>
      <c r="P23" s="114"/>
      <c r="Q23" s="115"/>
      <c r="R23" s="116"/>
      <c r="S23" s="116"/>
      <c r="T23" s="105"/>
      <c r="U23" s="114"/>
      <c r="V23" s="115"/>
      <c r="W23" s="116"/>
      <c r="X23" s="116"/>
      <c r="Y23" s="105"/>
      <c r="Z23" s="114"/>
      <c r="AA23" s="115"/>
      <c r="AB23" s="116"/>
      <c r="AC23" s="116"/>
      <c r="AD23" s="105"/>
      <c r="AE23" s="114"/>
      <c r="AF23" s="115"/>
      <c r="AG23" s="116"/>
      <c r="AH23" s="116"/>
      <c r="AI23" s="105"/>
      <c r="AJ23" s="114"/>
      <c r="AK23" s="115"/>
      <c r="AL23" s="116"/>
      <c r="AM23" s="116"/>
      <c r="AN23" s="105"/>
      <c r="AO23" s="114"/>
      <c r="AP23" s="115"/>
      <c r="AQ23" s="116"/>
      <c r="AR23" s="116"/>
      <c r="AS23" s="105"/>
      <c r="AT23" s="114"/>
      <c r="AU23" s="115"/>
      <c r="AV23" s="116"/>
      <c r="AW23" s="116"/>
      <c r="AX23" s="105"/>
      <c r="AY23" s="114"/>
      <c r="AZ23" s="115"/>
      <c r="BA23" s="116"/>
      <c r="BB23" s="116"/>
      <c r="BC23" s="105"/>
      <c r="BD23" s="114"/>
      <c r="BE23" s="115"/>
      <c r="BF23" s="116"/>
      <c r="BG23" s="116"/>
      <c r="BH23" s="105"/>
      <c r="BI23" s="114"/>
      <c r="BJ23" s="115"/>
      <c r="BK23" s="116"/>
      <c r="BL23" s="116"/>
      <c r="BM23" s="105"/>
      <c r="BN23" s="114"/>
      <c r="BO23" s="115"/>
      <c r="BP23" s="116"/>
      <c r="BQ23" s="116"/>
      <c r="BR23" s="105"/>
      <c r="BS23" s="114"/>
      <c r="BT23" s="115"/>
      <c r="BU23" s="116"/>
      <c r="BV23" s="116"/>
      <c r="BW23" s="105"/>
    </row>
    <row r="24" spans="2:75" x14ac:dyDescent="0.45">
      <c r="B24" s="176"/>
      <c r="C24" s="37"/>
      <c r="D24" s="38"/>
      <c r="E24" s="38"/>
      <c r="F24" s="200" t="s">
        <v>34</v>
      </c>
      <c r="G24" s="200"/>
      <c r="H24" s="200"/>
      <c r="I24" s="200"/>
      <c r="J24" s="140" t="s">
        <v>40</v>
      </c>
      <c r="K24" s="114"/>
      <c r="L24" s="115"/>
      <c r="M24" s="116"/>
      <c r="N24" s="116"/>
      <c r="O24" s="105"/>
      <c r="P24" s="114"/>
      <c r="Q24" s="115"/>
      <c r="R24" s="116"/>
      <c r="S24" s="116"/>
      <c r="T24" s="105"/>
      <c r="U24" s="114"/>
      <c r="V24" s="115"/>
      <c r="W24" s="116"/>
      <c r="X24" s="116"/>
      <c r="Y24" s="105"/>
      <c r="Z24" s="114"/>
      <c r="AA24" s="115"/>
      <c r="AB24" s="116"/>
      <c r="AC24" s="116"/>
      <c r="AD24" s="105"/>
      <c r="AE24" s="114"/>
      <c r="AF24" s="115"/>
      <c r="AG24" s="116"/>
      <c r="AH24" s="116"/>
      <c r="AI24" s="105"/>
      <c r="AJ24" s="114"/>
      <c r="AK24" s="115"/>
      <c r="AL24" s="116"/>
      <c r="AM24" s="116"/>
      <c r="AN24" s="105"/>
      <c r="AO24" s="114"/>
      <c r="AP24" s="115"/>
      <c r="AQ24" s="116"/>
      <c r="AR24" s="116"/>
      <c r="AS24" s="105"/>
      <c r="AT24" s="114"/>
      <c r="AU24" s="115"/>
      <c r="AV24" s="116"/>
      <c r="AW24" s="116"/>
      <c r="AX24" s="105"/>
      <c r="AY24" s="114"/>
      <c r="AZ24" s="115"/>
      <c r="BA24" s="116"/>
      <c r="BB24" s="116"/>
      <c r="BC24" s="105"/>
      <c r="BD24" s="114"/>
      <c r="BE24" s="115"/>
      <c r="BF24" s="116"/>
      <c r="BG24" s="116"/>
      <c r="BH24" s="105"/>
      <c r="BI24" s="114"/>
      <c r="BJ24" s="115"/>
      <c r="BK24" s="116"/>
      <c r="BL24" s="116"/>
      <c r="BM24" s="105"/>
      <c r="BN24" s="114"/>
      <c r="BO24" s="115"/>
      <c r="BP24" s="116"/>
      <c r="BQ24" s="116"/>
      <c r="BR24" s="105"/>
      <c r="BS24" s="114">
        <f>月報!R26</f>
        <v>0</v>
      </c>
      <c r="BT24" s="115">
        <f>月報!S26</f>
        <v>0</v>
      </c>
      <c r="BU24" s="116">
        <f>月報!T26</f>
        <v>0</v>
      </c>
      <c r="BV24" s="116">
        <f>月報!U26</f>
        <v>0</v>
      </c>
      <c r="BW24" s="105">
        <f>月報!V26</f>
        <v>0</v>
      </c>
    </row>
    <row r="25" spans="2:75" x14ac:dyDescent="0.45">
      <c r="B25" s="176"/>
      <c r="C25" s="39"/>
      <c r="D25" s="40"/>
      <c r="E25" s="40"/>
      <c r="F25" s="201"/>
      <c r="G25" s="201"/>
      <c r="H25" s="201"/>
      <c r="I25" s="201"/>
      <c r="J25" s="141"/>
      <c r="K25" s="114"/>
      <c r="L25" s="115"/>
      <c r="M25" s="116"/>
      <c r="N25" s="116"/>
      <c r="O25" s="105"/>
      <c r="P25" s="114"/>
      <c r="Q25" s="115"/>
      <c r="R25" s="116"/>
      <c r="S25" s="116"/>
      <c r="T25" s="105"/>
      <c r="U25" s="114"/>
      <c r="V25" s="115"/>
      <c r="W25" s="116"/>
      <c r="X25" s="116"/>
      <c r="Y25" s="105"/>
      <c r="Z25" s="114"/>
      <c r="AA25" s="115"/>
      <c r="AB25" s="116"/>
      <c r="AC25" s="116"/>
      <c r="AD25" s="105"/>
      <c r="AE25" s="114"/>
      <c r="AF25" s="115"/>
      <c r="AG25" s="116"/>
      <c r="AH25" s="116"/>
      <c r="AI25" s="105"/>
      <c r="AJ25" s="114"/>
      <c r="AK25" s="115"/>
      <c r="AL25" s="116"/>
      <c r="AM25" s="116"/>
      <c r="AN25" s="105"/>
      <c r="AO25" s="114"/>
      <c r="AP25" s="115"/>
      <c r="AQ25" s="116"/>
      <c r="AR25" s="116"/>
      <c r="AS25" s="105"/>
      <c r="AT25" s="114"/>
      <c r="AU25" s="115"/>
      <c r="AV25" s="116"/>
      <c r="AW25" s="116"/>
      <c r="AX25" s="105"/>
      <c r="AY25" s="114"/>
      <c r="AZ25" s="115"/>
      <c r="BA25" s="116"/>
      <c r="BB25" s="116"/>
      <c r="BC25" s="105"/>
      <c r="BD25" s="114"/>
      <c r="BE25" s="115"/>
      <c r="BF25" s="116"/>
      <c r="BG25" s="116"/>
      <c r="BH25" s="105"/>
      <c r="BI25" s="114"/>
      <c r="BJ25" s="115"/>
      <c r="BK25" s="116"/>
      <c r="BL25" s="116"/>
      <c r="BM25" s="105"/>
      <c r="BN25" s="114"/>
      <c r="BO25" s="115"/>
      <c r="BP25" s="116"/>
      <c r="BQ25" s="116"/>
      <c r="BR25" s="105"/>
      <c r="BS25" s="114"/>
      <c r="BT25" s="115"/>
      <c r="BU25" s="116"/>
      <c r="BV25" s="116"/>
      <c r="BW25" s="105"/>
    </row>
    <row r="26" spans="2:75" x14ac:dyDescent="0.45">
      <c r="B26" s="176"/>
      <c r="C26" s="182" t="s">
        <v>41</v>
      </c>
      <c r="D26" s="166"/>
      <c r="E26" s="219"/>
      <c r="F26" s="203" t="s">
        <v>42</v>
      </c>
      <c r="G26" s="204"/>
      <c r="H26" s="204"/>
      <c r="I26" s="205"/>
      <c r="J26" s="35"/>
      <c r="K26" s="114"/>
      <c r="L26" s="115"/>
      <c r="M26" s="116"/>
      <c r="N26" s="116"/>
      <c r="O26" s="105"/>
      <c r="P26" s="114"/>
      <c r="Q26" s="115"/>
      <c r="R26" s="116"/>
      <c r="S26" s="116"/>
      <c r="T26" s="105"/>
      <c r="U26" s="114"/>
      <c r="V26" s="115"/>
      <c r="W26" s="116"/>
      <c r="X26" s="116"/>
      <c r="Y26" s="105"/>
      <c r="Z26" s="114"/>
      <c r="AA26" s="115"/>
      <c r="AB26" s="116"/>
      <c r="AC26" s="116"/>
      <c r="AD26" s="105"/>
      <c r="AE26" s="114"/>
      <c r="AF26" s="115"/>
      <c r="AG26" s="116"/>
      <c r="AH26" s="116"/>
      <c r="AI26" s="105"/>
      <c r="AJ26" s="114"/>
      <c r="AK26" s="115"/>
      <c r="AL26" s="116"/>
      <c r="AM26" s="116"/>
      <c r="AN26" s="105"/>
      <c r="AO26" s="114"/>
      <c r="AP26" s="115"/>
      <c r="AQ26" s="116"/>
      <c r="AR26" s="116"/>
      <c r="AS26" s="105"/>
      <c r="AT26" s="114"/>
      <c r="AU26" s="115"/>
      <c r="AV26" s="116"/>
      <c r="AW26" s="116"/>
      <c r="AX26" s="105"/>
      <c r="AY26" s="114"/>
      <c r="AZ26" s="115"/>
      <c r="BA26" s="116"/>
      <c r="BB26" s="116"/>
      <c r="BC26" s="105"/>
      <c r="BD26" s="114"/>
      <c r="BE26" s="115"/>
      <c r="BF26" s="116"/>
      <c r="BG26" s="116"/>
      <c r="BH26" s="105"/>
      <c r="BI26" s="114"/>
      <c r="BJ26" s="115"/>
      <c r="BK26" s="116"/>
      <c r="BL26" s="116"/>
      <c r="BM26" s="105"/>
      <c r="BN26" s="114"/>
      <c r="BO26" s="115"/>
      <c r="BP26" s="116"/>
      <c r="BQ26" s="116"/>
      <c r="BR26" s="105"/>
      <c r="BS26" s="114">
        <f>月報!R28</f>
        <v>0</v>
      </c>
      <c r="BT26" s="115">
        <f>月報!S28</f>
        <v>0</v>
      </c>
      <c r="BU26" s="116">
        <f>月報!T28</f>
        <v>0</v>
      </c>
      <c r="BV26" s="116">
        <f>月報!U28</f>
        <v>0</v>
      </c>
      <c r="BW26" s="105">
        <f>月報!V28</f>
        <v>0</v>
      </c>
    </row>
    <row r="27" spans="2:75" x14ac:dyDescent="0.45">
      <c r="B27" s="176"/>
      <c r="C27" s="213"/>
      <c r="D27" s="214"/>
      <c r="E27" s="215"/>
      <c r="F27" s="206"/>
      <c r="G27" s="207"/>
      <c r="H27" s="207"/>
      <c r="I27" s="207"/>
      <c r="J27" s="36"/>
      <c r="K27" s="114"/>
      <c r="L27" s="115"/>
      <c r="M27" s="116"/>
      <c r="N27" s="116"/>
      <c r="O27" s="105"/>
      <c r="P27" s="114"/>
      <c r="Q27" s="115"/>
      <c r="R27" s="116"/>
      <c r="S27" s="116"/>
      <c r="T27" s="105"/>
      <c r="U27" s="114"/>
      <c r="V27" s="115"/>
      <c r="W27" s="116"/>
      <c r="X27" s="116"/>
      <c r="Y27" s="105"/>
      <c r="Z27" s="114"/>
      <c r="AA27" s="115"/>
      <c r="AB27" s="116"/>
      <c r="AC27" s="116"/>
      <c r="AD27" s="105"/>
      <c r="AE27" s="114"/>
      <c r="AF27" s="115"/>
      <c r="AG27" s="116"/>
      <c r="AH27" s="116"/>
      <c r="AI27" s="105"/>
      <c r="AJ27" s="114"/>
      <c r="AK27" s="115"/>
      <c r="AL27" s="116"/>
      <c r="AM27" s="116"/>
      <c r="AN27" s="105"/>
      <c r="AO27" s="114"/>
      <c r="AP27" s="115"/>
      <c r="AQ27" s="116"/>
      <c r="AR27" s="116"/>
      <c r="AS27" s="105"/>
      <c r="AT27" s="114"/>
      <c r="AU27" s="115"/>
      <c r="AV27" s="116"/>
      <c r="AW27" s="116"/>
      <c r="AX27" s="105"/>
      <c r="AY27" s="114"/>
      <c r="AZ27" s="115"/>
      <c r="BA27" s="116"/>
      <c r="BB27" s="116"/>
      <c r="BC27" s="105"/>
      <c r="BD27" s="114"/>
      <c r="BE27" s="115"/>
      <c r="BF27" s="116"/>
      <c r="BG27" s="116"/>
      <c r="BH27" s="105"/>
      <c r="BI27" s="114"/>
      <c r="BJ27" s="115"/>
      <c r="BK27" s="116"/>
      <c r="BL27" s="116"/>
      <c r="BM27" s="105"/>
      <c r="BN27" s="114"/>
      <c r="BO27" s="115"/>
      <c r="BP27" s="116"/>
      <c r="BQ27" s="116"/>
      <c r="BR27" s="105"/>
      <c r="BS27" s="114"/>
      <c r="BT27" s="115"/>
      <c r="BU27" s="116"/>
      <c r="BV27" s="116"/>
      <c r="BW27" s="105"/>
    </row>
    <row r="28" spans="2:75" x14ac:dyDescent="0.45">
      <c r="B28" s="176"/>
      <c r="C28" s="213"/>
      <c r="D28" s="214"/>
      <c r="E28" s="215"/>
      <c r="F28" s="203" t="s">
        <v>43</v>
      </c>
      <c r="G28" s="204"/>
      <c r="H28" s="204"/>
      <c r="I28" s="205"/>
      <c r="J28" s="35"/>
      <c r="K28" s="114"/>
      <c r="L28" s="115"/>
      <c r="M28" s="116"/>
      <c r="N28" s="116"/>
      <c r="O28" s="105"/>
      <c r="P28" s="114"/>
      <c r="Q28" s="115"/>
      <c r="R28" s="116"/>
      <c r="S28" s="116"/>
      <c r="T28" s="105"/>
      <c r="U28" s="114"/>
      <c r="V28" s="115"/>
      <c r="W28" s="116"/>
      <c r="X28" s="116"/>
      <c r="Y28" s="105"/>
      <c r="Z28" s="114"/>
      <c r="AA28" s="115"/>
      <c r="AB28" s="116"/>
      <c r="AC28" s="116"/>
      <c r="AD28" s="105"/>
      <c r="AE28" s="114"/>
      <c r="AF28" s="115"/>
      <c r="AG28" s="116"/>
      <c r="AH28" s="116"/>
      <c r="AI28" s="105"/>
      <c r="AJ28" s="114"/>
      <c r="AK28" s="115"/>
      <c r="AL28" s="116"/>
      <c r="AM28" s="116"/>
      <c r="AN28" s="105"/>
      <c r="AO28" s="114"/>
      <c r="AP28" s="115"/>
      <c r="AQ28" s="116"/>
      <c r="AR28" s="116"/>
      <c r="AS28" s="105"/>
      <c r="AT28" s="114"/>
      <c r="AU28" s="115"/>
      <c r="AV28" s="116"/>
      <c r="AW28" s="116"/>
      <c r="AX28" s="105"/>
      <c r="AY28" s="114"/>
      <c r="AZ28" s="115"/>
      <c r="BA28" s="116"/>
      <c r="BB28" s="116"/>
      <c r="BC28" s="105"/>
      <c r="BD28" s="114"/>
      <c r="BE28" s="115"/>
      <c r="BF28" s="116"/>
      <c r="BG28" s="116"/>
      <c r="BH28" s="105"/>
      <c r="BI28" s="114"/>
      <c r="BJ28" s="115"/>
      <c r="BK28" s="116"/>
      <c r="BL28" s="116"/>
      <c r="BM28" s="105"/>
      <c r="BN28" s="114"/>
      <c r="BO28" s="115"/>
      <c r="BP28" s="116"/>
      <c r="BQ28" s="116"/>
      <c r="BR28" s="105"/>
      <c r="BS28" s="114">
        <f>月報!R30</f>
        <v>0</v>
      </c>
      <c r="BT28" s="115">
        <f>月報!S30</f>
        <v>0</v>
      </c>
      <c r="BU28" s="116">
        <f>月報!T30</f>
        <v>0</v>
      </c>
      <c r="BV28" s="116">
        <f>月報!U30</f>
        <v>0</v>
      </c>
      <c r="BW28" s="105">
        <f>月報!V30</f>
        <v>0</v>
      </c>
    </row>
    <row r="29" spans="2:75" x14ac:dyDescent="0.45">
      <c r="B29" s="176"/>
      <c r="C29" s="213"/>
      <c r="D29" s="214"/>
      <c r="E29" s="215"/>
      <c r="F29" s="206"/>
      <c r="G29" s="207"/>
      <c r="H29" s="207"/>
      <c r="I29" s="207"/>
      <c r="J29" s="36"/>
      <c r="K29" s="114"/>
      <c r="L29" s="115"/>
      <c r="M29" s="116"/>
      <c r="N29" s="116"/>
      <c r="O29" s="105"/>
      <c r="P29" s="114"/>
      <c r="Q29" s="115"/>
      <c r="R29" s="116"/>
      <c r="S29" s="116"/>
      <c r="T29" s="105"/>
      <c r="U29" s="114"/>
      <c r="V29" s="115"/>
      <c r="W29" s="116"/>
      <c r="X29" s="116"/>
      <c r="Y29" s="105"/>
      <c r="Z29" s="114"/>
      <c r="AA29" s="115"/>
      <c r="AB29" s="116"/>
      <c r="AC29" s="116"/>
      <c r="AD29" s="105"/>
      <c r="AE29" s="114"/>
      <c r="AF29" s="115"/>
      <c r="AG29" s="116"/>
      <c r="AH29" s="116"/>
      <c r="AI29" s="105"/>
      <c r="AJ29" s="114"/>
      <c r="AK29" s="115"/>
      <c r="AL29" s="116"/>
      <c r="AM29" s="116"/>
      <c r="AN29" s="105"/>
      <c r="AO29" s="114"/>
      <c r="AP29" s="115"/>
      <c r="AQ29" s="116"/>
      <c r="AR29" s="116"/>
      <c r="AS29" s="105"/>
      <c r="AT29" s="114"/>
      <c r="AU29" s="115"/>
      <c r="AV29" s="116"/>
      <c r="AW29" s="116"/>
      <c r="AX29" s="105"/>
      <c r="AY29" s="114"/>
      <c r="AZ29" s="115"/>
      <c r="BA29" s="116"/>
      <c r="BB29" s="116"/>
      <c r="BC29" s="105"/>
      <c r="BD29" s="114"/>
      <c r="BE29" s="115"/>
      <c r="BF29" s="116"/>
      <c r="BG29" s="116"/>
      <c r="BH29" s="105"/>
      <c r="BI29" s="114"/>
      <c r="BJ29" s="115"/>
      <c r="BK29" s="116"/>
      <c r="BL29" s="116"/>
      <c r="BM29" s="105"/>
      <c r="BN29" s="114"/>
      <c r="BO29" s="115"/>
      <c r="BP29" s="116"/>
      <c r="BQ29" s="116"/>
      <c r="BR29" s="105"/>
      <c r="BS29" s="114"/>
      <c r="BT29" s="115"/>
      <c r="BU29" s="116"/>
      <c r="BV29" s="116"/>
      <c r="BW29" s="105"/>
    </row>
    <row r="30" spans="2:75" x14ac:dyDescent="0.45">
      <c r="B30" s="176"/>
      <c r="C30" s="37"/>
      <c r="D30" s="38"/>
      <c r="E30" s="38"/>
      <c r="F30" s="200" t="s">
        <v>34</v>
      </c>
      <c r="G30" s="200"/>
      <c r="H30" s="200"/>
      <c r="I30" s="200"/>
      <c r="J30" s="140" t="s">
        <v>44</v>
      </c>
      <c r="K30" s="114"/>
      <c r="L30" s="115"/>
      <c r="M30" s="116"/>
      <c r="N30" s="116"/>
      <c r="O30" s="105"/>
      <c r="P30" s="114"/>
      <c r="Q30" s="115"/>
      <c r="R30" s="116"/>
      <c r="S30" s="116"/>
      <c r="T30" s="105"/>
      <c r="U30" s="114"/>
      <c r="V30" s="115"/>
      <c r="W30" s="116"/>
      <c r="X30" s="116"/>
      <c r="Y30" s="105"/>
      <c r="Z30" s="114"/>
      <c r="AA30" s="115"/>
      <c r="AB30" s="116"/>
      <c r="AC30" s="116"/>
      <c r="AD30" s="105"/>
      <c r="AE30" s="114"/>
      <c r="AF30" s="115"/>
      <c r="AG30" s="116"/>
      <c r="AH30" s="116"/>
      <c r="AI30" s="105"/>
      <c r="AJ30" s="114"/>
      <c r="AK30" s="115"/>
      <c r="AL30" s="116"/>
      <c r="AM30" s="116"/>
      <c r="AN30" s="105"/>
      <c r="AO30" s="114"/>
      <c r="AP30" s="115"/>
      <c r="AQ30" s="116"/>
      <c r="AR30" s="116"/>
      <c r="AS30" s="105"/>
      <c r="AT30" s="114"/>
      <c r="AU30" s="115"/>
      <c r="AV30" s="116"/>
      <c r="AW30" s="116"/>
      <c r="AX30" s="105"/>
      <c r="AY30" s="114"/>
      <c r="AZ30" s="115"/>
      <c r="BA30" s="116"/>
      <c r="BB30" s="116"/>
      <c r="BC30" s="105"/>
      <c r="BD30" s="114"/>
      <c r="BE30" s="115"/>
      <c r="BF30" s="116"/>
      <c r="BG30" s="116"/>
      <c r="BH30" s="105"/>
      <c r="BI30" s="114"/>
      <c r="BJ30" s="115"/>
      <c r="BK30" s="116"/>
      <c r="BL30" s="116"/>
      <c r="BM30" s="105"/>
      <c r="BN30" s="114"/>
      <c r="BO30" s="115"/>
      <c r="BP30" s="116"/>
      <c r="BQ30" s="116"/>
      <c r="BR30" s="105"/>
      <c r="BS30" s="114">
        <f>月報!R32</f>
        <v>0</v>
      </c>
      <c r="BT30" s="115">
        <f>月報!S32</f>
        <v>0</v>
      </c>
      <c r="BU30" s="116">
        <f>月報!T32</f>
        <v>0</v>
      </c>
      <c r="BV30" s="116">
        <f>月報!U32</f>
        <v>0</v>
      </c>
      <c r="BW30" s="105">
        <f>月報!V32</f>
        <v>0</v>
      </c>
    </row>
    <row r="31" spans="2:75" x14ac:dyDescent="0.45">
      <c r="B31" s="176"/>
      <c r="C31" s="39"/>
      <c r="D31" s="40"/>
      <c r="E31" s="40"/>
      <c r="F31" s="201"/>
      <c r="G31" s="201"/>
      <c r="H31" s="201"/>
      <c r="I31" s="201"/>
      <c r="J31" s="141"/>
      <c r="K31" s="114"/>
      <c r="L31" s="115"/>
      <c r="M31" s="116"/>
      <c r="N31" s="116"/>
      <c r="O31" s="105"/>
      <c r="P31" s="114"/>
      <c r="Q31" s="115"/>
      <c r="R31" s="116"/>
      <c r="S31" s="116"/>
      <c r="T31" s="105"/>
      <c r="U31" s="114"/>
      <c r="V31" s="115"/>
      <c r="W31" s="116"/>
      <c r="X31" s="116"/>
      <c r="Y31" s="105"/>
      <c r="Z31" s="114"/>
      <c r="AA31" s="115"/>
      <c r="AB31" s="116"/>
      <c r="AC31" s="116"/>
      <c r="AD31" s="105"/>
      <c r="AE31" s="114"/>
      <c r="AF31" s="115"/>
      <c r="AG31" s="116"/>
      <c r="AH31" s="116"/>
      <c r="AI31" s="105"/>
      <c r="AJ31" s="114"/>
      <c r="AK31" s="115"/>
      <c r="AL31" s="116"/>
      <c r="AM31" s="116"/>
      <c r="AN31" s="105"/>
      <c r="AO31" s="114"/>
      <c r="AP31" s="115"/>
      <c r="AQ31" s="116"/>
      <c r="AR31" s="116"/>
      <c r="AS31" s="105"/>
      <c r="AT31" s="114"/>
      <c r="AU31" s="115"/>
      <c r="AV31" s="116"/>
      <c r="AW31" s="116"/>
      <c r="AX31" s="105"/>
      <c r="AY31" s="114"/>
      <c r="AZ31" s="115"/>
      <c r="BA31" s="116"/>
      <c r="BB31" s="116"/>
      <c r="BC31" s="105"/>
      <c r="BD31" s="114"/>
      <c r="BE31" s="115"/>
      <c r="BF31" s="116"/>
      <c r="BG31" s="116"/>
      <c r="BH31" s="105"/>
      <c r="BI31" s="114"/>
      <c r="BJ31" s="115"/>
      <c r="BK31" s="116"/>
      <c r="BL31" s="116"/>
      <c r="BM31" s="105"/>
      <c r="BN31" s="114"/>
      <c r="BO31" s="115"/>
      <c r="BP31" s="116"/>
      <c r="BQ31" s="116"/>
      <c r="BR31" s="105"/>
      <c r="BS31" s="114"/>
      <c r="BT31" s="115"/>
      <c r="BU31" s="116"/>
      <c r="BV31" s="116"/>
      <c r="BW31" s="105"/>
    </row>
    <row r="32" spans="2:75" x14ac:dyDescent="0.45">
      <c r="B32" s="176"/>
      <c r="C32" s="182" t="s">
        <v>45</v>
      </c>
      <c r="D32" s="166"/>
      <c r="E32" s="166"/>
      <c r="F32" s="41"/>
      <c r="G32" s="41"/>
      <c r="H32" s="41"/>
      <c r="I32" s="42"/>
      <c r="J32" s="140" t="s">
        <v>46</v>
      </c>
      <c r="K32" s="114"/>
      <c r="L32" s="115"/>
      <c r="M32" s="116"/>
      <c r="N32" s="116"/>
      <c r="O32" s="105"/>
      <c r="P32" s="114"/>
      <c r="Q32" s="115"/>
      <c r="R32" s="116"/>
      <c r="S32" s="116"/>
      <c r="T32" s="105"/>
      <c r="U32" s="114"/>
      <c r="V32" s="115"/>
      <c r="W32" s="116"/>
      <c r="X32" s="116"/>
      <c r="Y32" s="105"/>
      <c r="Z32" s="114"/>
      <c r="AA32" s="115"/>
      <c r="AB32" s="116"/>
      <c r="AC32" s="116"/>
      <c r="AD32" s="105"/>
      <c r="AE32" s="114"/>
      <c r="AF32" s="115"/>
      <c r="AG32" s="116"/>
      <c r="AH32" s="116"/>
      <c r="AI32" s="105"/>
      <c r="AJ32" s="114"/>
      <c r="AK32" s="115"/>
      <c r="AL32" s="116"/>
      <c r="AM32" s="116"/>
      <c r="AN32" s="105"/>
      <c r="AO32" s="114"/>
      <c r="AP32" s="115"/>
      <c r="AQ32" s="116"/>
      <c r="AR32" s="116"/>
      <c r="AS32" s="105"/>
      <c r="AT32" s="114"/>
      <c r="AU32" s="115"/>
      <c r="AV32" s="116"/>
      <c r="AW32" s="116"/>
      <c r="AX32" s="105"/>
      <c r="AY32" s="114"/>
      <c r="AZ32" s="115"/>
      <c r="BA32" s="116"/>
      <c r="BB32" s="116"/>
      <c r="BC32" s="105"/>
      <c r="BD32" s="114"/>
      <c r="BE32" s="115"/>
      <c r="BF32" s="116"/>
      <c r="BG32" s="116"/>
      <c r="BH32" s="105"/>
      <c r="BI32" s="114"/>
      <c r="BJ32" s="115"/>
      <c r="BK32" s="116"/>
      <c r="BL32" s="116"/>
      <c r="BM32" s="105"/>
      <c r="BN32" s="114"/>
      <c r="BO32" s="115"/>
      <c r="BP32" s="116"/>
      <c r="BQ32" s="116"/>
      <c r="BR32" s="105"/>
      <c r="BS32" s="114">
        <f>月報!R34</f>
        <v>0</v>
      </c>
      <c r="BT32" s="115">
        <f>月報!S34</f>
        <v>0</v>
      </c>
      <c r="BU32" s="116">
        <f>月報!T34</f>
        <v>0</v>
      </c>
      <c r="BV32" s="116">
        <f>月報!U34</f>
        <v>0</v>
      </c>
      <c r="BW32" s="105">
        <f>月報!V34</f>
        <v>0</v>
      </c>
    </row>
    <row r="33" spans="2:75" x14ac:dyDescent="0.45">
      <c r="B33" s="176"/>
      <c r="C33" s="183"/>
      <c r="D33" s="184"/>
      <c r="E33" s="184"/>
      <c r="F33" s="31"/>
      <c r="G33" s="31"/>
      <c r="H33" s="31"/>
      <c r="I33" s="43"/>
      <c r="J33" s="141"/>
      <c r="K33" s="114"/>
      <c r="L33" s="115"/>
      <c r="M33" s="116"/>
      <c r="N33" s="116"/>
      <c r="O33" s="105"/>
      <c r="P33" s="114"/>
      <c r="Q33" s="115"/>
      <c r="R33" s="116"/>
      <c r="S33" s="116"/>
      <c r="T33" s="105"/>
      <c r="U33" s="114"/>
      <c r="V33" s="115"/>
      <c r="W33" s="116"/>
      <c r="X33" s="116"/>
      <c r="Y33" s="105"/>
      <c r="Z33" s="114"/>
      <c r="AA33" s="115"/>
      <c r="AB33" s="116"/>
      <c r="AC33" s="116"/>
      <c r="AD33" s="105"/>
      <c r="AE33" s="114"/>
      <c r="AF33" s="115"/>
      <c r="AG33" s="116"/>
      <c r="AH33" s="116"/>
      <c r="AI33" s="105"/>
      <c r="AJ33" s="114"/>
      <c r="AK33" s="115"/>
      <c r="AL33" s="116"/>
      <c r="AM33" s="116"/>
      <c r="AN33" s="105"/>
      <c r="AO33" s="114"/>
      <c r="AP33" s="115"/>
      <c r="AQ33" s="116"/>
      <c r="AR33" s="116"/>
      <c r="AS33" s="105"/>
      <c r="AT33" s="114"/>
      <c r="AU33" s="115"/>
      <c r="AV33" s="116"/>
      <c r="AW33" s="116"/>
      <c r="AX33" s="105"/>
      <c r="AY33" s="114"/>
      <c r="AZ33" s="115"/>
      <c r="BA33" s="116"/>
      <c r="BB33" s="116"/>
      <c r="BC33" s="105"/>
      <c r="BD33" s="114"/>
      <c r="BE33" s="115"/>
      <c r="BF33" s="116"/>
      <c r="BG33" s="116"/>
      <c r="BH33" s="105"/>
      <c r="BI33" s="114"/>
      <c r="BJ33" s="115"/>
      <c r="BK33" s="116"/>
      <c r="BL33" s="116"/>
      <c r="BM33" s="105"/>
      <c r="BN33" s="114"/>
      <c r="BO33" s="115"/>
      <c r="BP33" s="116"/>
      <c r="BQ33" s="116"/>
      <c r="BR33" s="105"/>
      <c r="BS33" s="114"/>
      <c r="BT33" s="115"/>
      <c r="BU33" s="116"/>
      <c r="BV33" s="116"/>
      <c r="BW33" s="105"/>
    </row>
    <row r="34" spans="2:75" x14ac:dyDescent="0.45">
      <c r="B34" s="176"/>
      <c r="C34" s="199"/>
      <c r="D34" s="199"/>
      <c r="E34" s="199"/>
      <c r="F34" s="108" t="s">
        <v>47</v>
      </c>
      <c r="G34" s="108"/>
      <c r="H34" s="108"/>
      <c r="I34" s="109"/>
      <c r="J34" s="112" t="s">
        <v>48</v>
      </c>
      <c r="K34" s="114"/>
      <c r="L34" s="115"/>
      <c r="M34" s="116"/>
      <c r="N34" s="116"/>
      <c r="O34" s="105"/>
      <c r="P34" s="114"/>
      <c r="Q34" s="115"/>
      <c r="R34" s="116"/>
      <c r="S34" s="116"/>
      <c r="T34" s="105"/>
      <c r="U34" s="114"/>
      <c r="V34" s="115"/>
      <c r="W34" s="116"/>
      <c r="X34" s="116"/>
      <c r="Y34" s="105"/>
      <c r="Z34" s="114"/>
      <c r="AA34" s="115"/>
      <c r="AB34" s="116"/>
      <c r="AC34" s="116"/>
      <c r="AD34" s="105"/>
      <c r="AE34" s="114"/>
      <c r="AF34" s="115"/>
      <c r="AG34" s="116"/>
      <c r="AH34" s="116"/>
      <c r="AI34" s="105"/>
      <c r="AJ34" s="114"/>
      <c r="AK34" s="115"/>
      <c r="AL34" s="116"/>
      <c r="AM34" s="116"/>
      <c r="AN34" s="105"/>
      <c r="AO34" s="114"/>
      <c r="AP34" s="115"/>
      <c r="AQ34" s="116"/>
      <c r="AR34" s="116"/>
      <c r="AS34" s="105"/>
      <c r="AT34" s="114"/>
      <c r="AU34" s="115"/>
      <c r="AV34" s="116"/>
      <c r="AW34" s="116"/>
      <c r="AX34" s="105"/>
      <c r="AY34" s="114"/>
      <c r="AZ34" s="115"/>
      <c r="BA34" s="116"/>
      <c r="BB34" s="116"/>
      <c r="BC34" s="105"/>
      <c r="BD34" s="114"/>
      <c r="BE34" s="115"/>
      <c r="BF34" s="116"/>
      <c r="BG34" s="116"/>
      <c r="BH34" s="105"/>
      <c r="BI34" s="114"/>
      <c r="BJ34" s="115"/>
      <c r="BK34" s="116"/>
      <c r="BL34" s="116"/>
      <c r="BM34" s="105"/>
      <c r="BN34" s="114"/>
      <c r="BO34" s="115"/>
      <c r="BP34" s="116"/>
      <c r="BQ34" s="116"/>
      <c r="BR34" s="105"/>
      <c r="BS34" s="114">
        <f>月報!R36</f>
        <v>0</v>
      </c>
      <c r="BT34" s="115">
        <f>月報!S36</f>
        <v>0</v>
      </c>
      <c r="BU34" s="116">
        <f>月報!T36</f>
        <v>0</v>
      </c>
      <c r="BV34" s="116">
        <f>月報!U36</f>
        <v>0</v>
      </c>
      <c r="BW34" s="105">
        <f>月報!V36</f>
        <v>0</v>
      </c>
    </row>
    <row r="35" spans="2:75" x14ac:dyDescent="0.45">
      <c r="B35" s="209"/>
      <c r="C35" s="44"/>
      <c r="D35" s="44"/>
      <c r="E35" s="44"/>
      <c r="F35" s="150"/>
      <c r="G35" s="150"/>
      <c r="H35" s="150"/>
      <c r="I35" s="151"/>
      <c r="J35" s="152"/>
      <c r="K35" s="114"/>
      <c r="L35" s="115"/>
      <c r="M35" s="116"/>
      <c r="N35" s="116"/>
      <c r="O35" s="105"/>
      <c r="P35" s="114"/>
      <c r="Q35" s="115"/>
      <c r="R35" s="116"/>
      <c r="S35" s="116"/>
      <c r="T35" s="105"/>
      <c r="U35" s="114"/>
      <c r="V35" s="115"/>
      <c r="W35" s="116"/>
      <c r="X35" s="116"/>
      <c r="Y35" s="105"/>
      <c r="Z35" s="114"/>
      <c r="AA35" s="115"/>
      <c r="AB35" s="116"/>
      <c r="AC35" s="116"/>
      <c r="AD35" s="105"/>
      <c r="AE35" s="114"/>
      <c r="AF35" s="115"/>
      <c r="AG35" s="116"/>
      <c r="AH35" s="116"/>
      <c r="AI35" s="105"/>
      <c r="AJ35" s="114"/>
      <c r="AK35" s="115"/>
      <c r="AL35" s="116"/>
      <c r="AM35" s="116"/>
      <c r="AN35" s="105"/>
      <c r="AO35" s="114"/>
      <c r="AP35" s="115"/>
      <c r="AQ35" s="116"/>
      <c r="AR35" s="116"/>
      <c r="AS35" s="105"/>
      <c r="AT35" s="114"/>
      <c r="AU35" s="115"/>
      <c r="AV35" s="116"/>
      <c r="AW35" s="116"/>
      <c r="AX35" s="105"/>
      <c r="AY35" s="114"/>
      <c r="AZ35" s="115"/>
      <c r="BA35" s="116"/>
      <c r="BB35" s="116"/>
      <c r="BC35" s="105"/>
      <c r="BD35" s="114"/>
      <c r="BE35" s="115"/>
      <c r="BF35" s="116"/>
      <c r="BG35" s="116"/>
      <c r="BH35" s="105"/>
      <c r="BI35" s="114"/>
      <c r="BJ35" s="115"/>
      <c r="BK35" s="116"/>
      <c r="BL35" s="116"/>
      <c r="BM35" s="105"/>
      <c r="BN35" s="114"/>
      <c r="BO35" s="115"/>
      <c r="BP35" s="116"/>
      <c r="BQ35" s="116"/>
      <c r="BR35" s="105"/>
      <c r="BS35" s="114"/>
      <c r="BT35" s="115"/>
      <c r="BU35" s="116"/>
      <c r="BV35" s="116"/>
      <c r="BW35" s="105"/>
    </row>
    <row r="36" spans="2:75" x14ac:dyDescent="0.45">
      <c r="B36" s="176" t="s">
        <v>49</v>
      </c>
      <c r="C36" s="179" t="s">
        <v>50</v>
      </c>
      <c r="D36" s="180"/>
      <c r="E36" s="181"/>
      <c r="F36" s="195" t="s">
        <v>51</v>
      </c>
      <c r="G36" s="196"/>
      <c r="H36" s="196"/>
      <c r="I36" s="196"/>
      <c r="J36" s="197" t="s">
        <v>52</v>
      </c>
      <c r="K36" s="114"/>
      <c r="L36" s="115"/>
      <c r="M36" s="116"/>
      <c r="N36" s="116"/>
      <c r="O36" s="105"/>
      <c r="P36" s="114"/>
      <c r="Q36" s="115"/>
      <c r="R36" s="116"/>
      <c r="S36" s="116"/>
      <c r="T36" s="105"/>
      <c r="U36" s="114"/>
      <c r="V36" s="115"/>
      <c r="W36" s="116"/>
      <c r="X36" s="116"/>
      <c r="Y36" s="105"/>
      <c r="Z36" s="114"/>
      <c r="AA36" s="115"/>
      <c r="AB36" s="116"/>
      <c r="AC36" s="116"/>
      <c r="AD36" s="105"/>
      <c r="AE36" s="114"/>
      <c r="AF36" s="115"/>
      <c r="AG36" s="116"/>
      <c r="AH36" s="116"/>
      <c r="AI36" s="105"/>
      <c r="AJ36" s="114"/>
      <c r="AK36" s="115"/>
      <c r="AL36" s="116"/>
      <c r="AM36" s="116"/>
      <c r="AN36" s="105"/>
      <c r="AO36" s="114"/>
      <c r="AP36" s="115"/>
      <c r="AQ36" s="116"/>
      <c r="AR36" s="116"/>
      <c r="AS36" s="105"/>
      <c r="AT36" s="114"/>
      <c r="AU36" s="115"/>
      <c r="AV36" s="116"/>
      <c r="AW36" s="116"/>
      <c r="AX36" s="105"/>
      <c r="AY36" s="114"/>
      <c r="AZ36" s="115"/>
      <c r="BA36" s="116"/>
      <c r="BB36" s="116"/>
      <c r="BC36" s="105"/>
      <c r="BD36" s="114"/>
      <c r="BE36" s="115"/>
      <c r="BF36" s="116"/>
      <c r="BG36" s="116"/>
      <c r="BH36" s="105"/>
      <c r="BI36" s="114"/>
      <c r="BJ36" s="115"/>
      <c r="BK36" s="116"/>
      <c r="BL36" s="116"/>
      <c r="BM36" s="105"/>
      <c r="BN36" s="114"/>
      <c r="BO36" s="115"/>
      <c r="BP36" s="116"/>
      <c r="BQ36" s="116"/>
      <c r="BR36" s="105"/>
      <c r="BS36" s="114">
        <f>月報!R38</f>
        <v>0</v>
      </c>
      <c r="BT36" s="115">
        <f>月報!S38</f>
        <v>0</v>
      </c>
      <c r="BU36" s="116">
        <f>月報!T38</f>
        <v>0</v>
      </c>
      <c r="BV36" s="116">
        <f>月報!U38</f>
        <v>0</v>
      </c>
      <c r="BW36" s="105">
        <f>月報!V38</f>
        <v>0</v>
      </c>
    </row>
    <row r="37" spans="2:75" x14ac:dyDescent="0.45">
      <c r="B37" s="176"/>
      <c r="C37" s="179"/>
      <c r="D37" s="180"/>
      <c r="E37" s="181"/>
      <c r="F37" s="186"/>
      <c r="G37" s="187"/>
      <c r="H37" s="187"/>
      <c r="I37" s="187"/>
      <c r="J37" s="198"/>
      <c r="K37" s="114"/>
      <c r="L37" s="115"/>
      <c r="M37" s="116"/>
      <c r="N37" s="116"/>
      <c r="O37" s="105"/>
      <c r="P37" s="114"/>
      <c r="Q37" s="115"/>
      <c r="R37" s="116"/>
      <c r="S37" s="116"/>
      <c r="T37" s="105"/>
      <c r="U37" s="114"/>
      <c r="V37" s="115"/>
      <c r="W37" s="116"/>
      <c r="X37" s="116"/>
      <c r="Y37" s="105"/>
      <c r="Z37" s="114"/>
      <c r="AA37" s="115"/>
      <c r="AB37" s="116"/>
      <c r="AC37" s="116"/>
      <c r="AD37" s="105"/>
      <c r="AE37" s="114"/>
      <c r="AF37" s="115"/>
      <c r="AG37" s="116"/>
      <c r="AH37" s="116"/>
      <c r="AI37" s="105"/>
      <c r="AJ37" s="114"/>
      <c r="AK37" s="115"/>
      <c r="AL37" s="116"/>
      <c r="AM37" s="116"/>
      <c r="AN37" s="105"/>
      <c r="AO37" s="114"/>
      <c r="AP37" s="115"/>
      <c r="AQ37" s="116"/>
      <c r="AR37" s="116"/>
      <c r="AS37" s="105"/>
      <c r="AT37" s="114"/>
      <c r="AU37" s="115"/>
      <c r="AV37" s="116"/>
      <c r="AW37" s="116"/>
      <c r="AX37" s="105"/>
      <c r="AY37" s="114"/>
      <c r="AZ37" s="115"/>
      <c r="BA37" s="116"/>
      <c r="BB37" s="116"/>
      <c r="BC37" s="105"/>
      <c r="BD37" s="114"/>
      <c r="BE37" s="115"/>
      <c r="BF37" s="116"/>
      <c r="BG37" s="116"/>
      <c r="BH37" s="105"/>
      <c r="BI37" s="114"/>
      <c r="BJ37" s="115"/>
      <c r="BK37" s="116"/>
      <c r="BL37" s="116"/>
      <c r="BM37" s="105"/>
      <c r="BN37" s="114"/>
      <c r="BO37" s="115"/>
      <c r="BP37" s="116"/>
      <c r="BQ37" s="116"/>
      <c r="BR37" s="105"/>
      <c r="BS37" s="114"/>
      <c r="BT37" s="115"/>
      <c r="BU37" s="116"/>
      <c r="BV37" s="116"/>
      <c r="BW37" s="105"/>
    </row>
    <row r="38" spans="2:75" x14ac:dyDescent="0.45">
      <c r="B38" s="176"/>
      <c r="C38" s="179"/>
      <c r="D38" s="180"/>
      <c r="E38" s="181"/>
      <c r="F38" s="162" t="s">
        <v>53</v>
      </c>
      <c r="G38" s="163"/>
      <c r="H38" s="163"/>
      <c r="I38" s="163"/>
      <c r="J38" s="45"/>
      <c r="K38" s="114"/>
      <c r="L38" s="115"/>
      <c r="M38" s="116"/>
      <c r="N38" s="116"/>
      <c r="O38" s="105"/>
      <c r="P38" s="114"/>
      <c r="Q38" s="115"/>
      <c r="R38" s="116"/>
      <c r="S38" s="116"/>
      <c r="T38" s="105"/>
      <c r="U38" s="114"/>
      <c r="V38" s="115"/>
      <c r="W38" s="116"/>
      <c r="X38" s="116"/>
      <c r="Y38" s="105"/>
      <c r="Z38" s="114"/>
      <c r="AA38" s="115"/>
      <c r="AB38" s="116"/>
      <c r="AC38" s="116"/>
      <c r="AD38" s="105"/>
      <c r="AE38" s="114"/>
      <c r="AF38" s="115"/>
      <c r="AG38" s="116"/>
      <c r="AH38" s="116"/>
      <c r="AI38" s="105"/>
      <c r="AJ38" s="114"/>
      <c r="AK38" s="115"/>
      <c r="AL38" s="116"/>
      <c r="AM38" s="116"/>
      <c r="AN38" s="105"/>
      <c r="AO38" s="114"/>
      <c r="AP38" s="115"/>
      <c r="AQ38" s="116"/>
      <c r="AR38" s="116"/>
      <c r="AS38" s="105"/>
      <c r="AT38" s="114"/>
      <c r="AU38" s="115"/>
      <c r="AV38" s="116"/>
      <c r="AW38" s="116"/>
      <c r="AX38" s="105"/>
      <c r="AY38" s="114"/>
      <c r="AZ38" s="115"/>
      <c r="BA38" s="116"/>
      <c r="BB38" s="116"/>
      <c r="BC38" s="105"/>
      <c r="BD38" s="114"/>
      <c r="BE38" s="115"/>
      <c r="BF38" s="116"/>
      <c r="BG38" s="116"/>
      <c r="BH38" s="105"/>
      <c r="BI38" s="114"/>
      <c r="BJ38" s="115"/>
      <c r="BK38" s="116"/>
      <c r="BL38" s="116"/>
      <c r="BM38" s="105"/>
      <c r="BN38" s="114"/>
      <c r="BO38" s="115"/>
      <c r="BP38" s="116"/>
      <c r="BQ38" s="116"/>
      <c r="BR38" s="105"/>
      <c r="BS38" s="114">
        <f>月報!R40</f>
        <v>0</v>
      </c>
      <c r="BT38" s="115">
        <f>月報!S40</f>
        <v>0</v>
      </c>
      <c r="BU38" s="116">
        <f>月報!T40</f>
        <v>0</v>
      </c>
      <c r="BV38" s="116">
        <f>月報!U40</f>
        <v>0</v>
      </c>
      <c r="BW38" s="105">
        <f>月報!V40</f>
        <v>0</v>
      </c>
    </row>
    <row r="39" spans="2:75" x14ac:dyDescent="0.45">
      <c r="B39" s="176"/>
      <c r="C39" s="179"/>
      <c r="D39" s="180"/>
      <c r="E39" s="181"/>
      <c r="F39" s="186"/>
      <c r="G39" s="187"/>
      <c r="H39" s="187"/>
      <c r="I39" s="187"/>
      <c r="J39" s="46"/>
      <c r="K39" s="114"/>
      <c r="L39" s="115"/>
      <c r="M39" s="116"/>
      <c r="N39" s="116"/>
      <c r="O39" s="105"/>
      <c r="P39" s="114"/>
      <c r="Q39" s="115"/>
      <c r="R39" s="116"/>
      <c r="S39" s="116"/>
      <c r="T39" s="105"/>
      <c r="U39" s="114"/>
      <c r="V39" s="115"/>
      <c r="W39" s="116"/>
      <c r="X39" s="116"/>
      <c r="Y39" s="105"/>
      <c r="Z39" s="114"/>
      <c r="AA39" s="115"/>
      <c r="AB39" s="116"/>
      <c r="AC39" s="116"/>
      <c r="AD39" s="105"/>
      <c r="AE39" s="114"/>
      <c r="AF39" s="115"/>
      <c r="AG39" s="116"/>
      <c r="AH39" s="116"/>
      <c r="AI39" s="105"/>
      <c r="AJ39" s="114"/>
      <c r="AK39" s="115"/>
      <c r="AL39" s="116"/>
      <c r="AM39" s="116"/>
      <c r="AN39" s="105"/>
      <c r="AO39" s="114"/>
      <c r="AP39" s="115"/>
      <c r="AQ39" s="116"/>
      <c r="AR39" s="116"/>
      <c r="AS39" s="105"/>
      <c r="AT39" s="114"/>
      <c r="AU39" s="115"/>
      <c r="AV39" s="116"/>
      <c r="AW39" s="116"/>
      <c r="AX39" s="105"/>
      <c r="AY39" s="114"/>
      <c r="AZ39" s="115"/>
      <c r="BA39" s="116"/>
      <c r="BB39" s="116"/>
      <c r="BC39" s="105"/>
      <c r="BD39" s="114"/>
      <c r="BE39" s="115"/>
      <c r="BF39" s="116"/>
      <c r="BG39" s="116"/>
      <c r="BH39" s="105"/>
      <c r="BI39" s="114"/>
      <c r="BJ39" s="115"/>
      <c r="BK39" s="116"/>
      <c r="BL39" s="116"/>
      <c r="BM39" s="105"/>
      <c r="BN39" s="114"/>
      <c r="BO39" s="115"/>
      <c r="BP39" s="116"/>
      <c r="BQ39" s="116"/>
      <c r="BR39" s="105"/>
      <c r="BS39" s="114"/>
      <c r="BT39" s="115"/>
      <c r="BU39" s="116"/>
      <c r="BV39" s="116"/>
      <c r="BW39" s="105"/>
    </row>
    <row r="40" spans="2:75" x14ac:dyDescent="0.45">
      <c r="B40" s="177"/>
      <c r="C40" s="47"/>
      <c r="D40" s="48"/>
      <c r="E40" s="48"/>
      <c r="F40" s="119" t="s">
        <v>54</v>
      </c>
      <c r="G40" s="119"/>
      <c r="H40" s="119"/>
      <c r="I40" s="119"/>
      <c r="J40" s="193" t="s">
        <v>55</v>
      </c>
      <c r="K40" s="114"/>
      <c r="L40" s="115"/>
      <c r="M40" s="116"/>
      <c r="N40" s="116"/>
      <c r="O40" s="105"/>
      <c r="P40" s="114"/>
      <c r="Q40" s="115"/>
      <c r="R40" s="116"/>
      <c r="S40" s="116"/>
      <c r="T40" s="105"/>
      <c r="U40" s="114"/>
      <c r="V40" s="115"/>
      <c r="W40" s="116"/>
      <c r="X40" s="116"/>
      <c r="Y40" s="105"/>
      <c r="Z40" s="114"/>
      <c r="AA40" s="115"/>
      <c r="AB40" s="116"/>
      <c r="AC40" s="116"/>
      <c r="AD40" s="105"/>
      <c r="AE40" s="114"/>
      <c r="AF40" s="115"/>
      <c r="AG40" s="116"/>
      <c r="AH40" s="116"/>
      <c r="AI40" s="105"/>
      <c r="AJ40" s="114"/>
      <c r="AK40" s="115"/>
      <c r="AL40" s="116"/>
      <c r="AM40" s="116"/>
      <c r="AN40" s="105"/>
      <c r="AO40" s="114"/>
      <c r="AP40" s="115"/>
      <c r="AQ40" s="116"/>
      <c r="AR40" s="116"/>
      <c r="AS40" s="105"/>
      <c r="AT40" s="114"/>
      <c r="AU40" s="115"/>
      <c r="AV40" s="116"/>
      <c r="AW40" s="116"/>
      <c r="AX40" s="105"/>
      <c r="AY40" s="114"/>
      <c r="AZ40" s="115"/>
      <c r="BA40" s="116"/>
      <c r="BB40" s="116"/>
      <c r="BC40" s="105"/>
      <c r="BD40" s="114"/>
      <c r="BE40" s="115"/>
      <c r="BF40" s="116"/>
      <c r="BG40" s="116"/>
      <c r="BH40" s="105"/>
      <c r="BI40" s="114"/>
      <c r="BJ40" s="115"/>
      <c r="BK40" s="116"/>
      <c r="BL40" s="116"/>
      <c r="BM40" s="105"/>
      <c r="BN40" s="114"/>
      <c r="BO40" s="115"/>
      <c r="BP40" s="116"/>
      <c r="BQ40" s="116"/>
      <c r="BR40" s="105"/>
      <c r="BS40" s="114">
        <f>月報!R42</f>
        <v>0</v>
      </c>
      <c r="BT40" s="115">
        <f>月報!S42</f>
        <v>0</v>
      </c>
      <c r="BU40" s="116">
        <f>月報!T42</f>
        <v>0</v>
      </c>
      <c r="BV40" s="116">
        <f>月報!U42</f>
        <v>0</v>
      </c>
      <c r="BW40" s="105">
        <f>月報!V42</f>
        <v>0</v>
      </c>
    </row>
    <row r="41" spans="2:75" x14ac:dyDescent="0.45">
      <c r="B41" s="177"/>
      <c r="C41" s="47"/>
      <c r="D41" s="48"/>
      <c r="E41" s="48"/>
      <c r="F41" s="121"/>
      <c r="G41" s="121"/>
      <c r="H41" s="121"/>
      <c r="I41" s="121"/>
      <c r="J41" s="194"/>
      <c r="K41" s="114"/>
      <c r="L41" s="115"/>
      <c r="M41" s="116"/>
      <c r="N41" s="116"/>
      <c r="O41" s="105"/>
      <c r="P41" s="114"/>
      <c r="Q41" s="115"/>
      <c r="R41" s="116"/>
      <c r="S41" s="116"/>
      <c r="T41" s="105"/>
      <c r="U41" s="114"/>
      <c r="V41" s="115"/>
      <c r="W41" s="116"/>
      <c r="X41" s="116"/>
      <c r="Y41" s="105"/>
      <c r="Z41" s="114"/>
      <c r="AA41" s="115"/>
      <c r="AB41" s="116"/>
      <c r="AC41" s="116"/>
      <c r="AD41" s="105"/>
      <c r="AE41" s="114"/>
      <c r="AF41" s="115"/>
      <c r="AG41" s="116"/>
      <c r="AH41" s="116"/>
      <c r="AI41" s="105"/>
      <c r="AJ41" s="114"/>
      <c r="AK41" s="115"/>
      <c r="AL41" s="116"/>
      <c r="AM41" s="116"/>
      <c r="AN41" s="105"/>
      <c r="AO41" s="114"/>
      <c r="AP41" s="115"/>
      <c r="AQ41" s="116"/>
      <c r="AR41" s="116"/>
      <c r="AS41" s="105"/>
      <c r="AT41" s="114"/>
      <c r="AU41" s="115"/>
      <c r="AV41" s="116"/>
      <c r="AW41" s="116"/>
      <c r="AX41" s="105"/>
      <c r="AY41" s="114"/>
      <c r="AZ41" s="115"/>
      <c r="BA41" s="116"/>
      <c r="BB41" s="116"/>
      <c r="BC41" s="105"/>
      <c r="BD41" s="114"/>
      <c r="BE41" s="115"/>
      <c r="BF41" s="116"/>
      <c r="BG41" s="116"/>
      <c r="BH41" s="105"/>
      <c r="BI41" s="114"/>
      <c r="BJ41" s="115"/>
      <c r="BK41" s="116"/>
      <c r="BL41" s="116"/>
      <c r="BM41" s="105"/>
      <c r="BN41" s="114"/>
      <c r="BO41" s="115"/>
      <c r="BP41" s="116"/>
      <c r="BQ41" s="116"/>
      <c r="BR41" s="105"/>
      <c r="BS41" s="114"/>
      <c r="BT41" s="115"/>
      <c r="BU41" s="116"/>
      <c r="BV41" s="116"/>
      <c r="BW41" s="105"/>
    </row>
    <row r="42" spans="2:75" x14ac:dyDescent="0.45">
      <c r="B42" s="177"/>
      <c r="C42" s="122" t="s">
        <v>56</v>
      </c>
      <c r="D42" s="123"/>
      <c r="E42" s="188"/>
      <c r="F42" s="189" t="s">
        <v>57</v>
      </c>
      <c r="G42" s="190"/>
      <c r="H42" s="190"/>
      <c r="I42" s="190"/>
      <c r="J42" s="193" t="s">
        <v>58</v>
      </c>
      <c r="K42" s="114"/>
      <c r="L42" s="115"/>
      <c r="M42" s="116"/>
      <c r="N42" s="116"/>
      <c r="O42" s="105"/>
      <c r="P42" s="114"/>
      <c r="Q42" s="115"/>
      <c r="R42" s="116"/>
      <c r="S42" s="116"/>
      <c r="T42" s="105"/>
      <c r="U42" s="114"/>
      <c r="V42" s="115"/>
      <c r="W42" s="116"/>
      <c r="X42" s="116"/>
      <c r="Y42" s="105"/>
      <c r="Z42" s="114"/>
      <c r="AA42" s="115"/>
      <c r="AB42" s="116"/>
      <c r="AC42" s="116"/>
      <c r="AD42" s="105"/>
      <c r="AE42" s="114"/>
      <c r="AF42" s="115"/>
      <c r="AG42" s="116"/>
      <c r="AH42" s="116"/>
      <c r="AI42" s="105"/>
      <c r="AJ42" s="114"/>
      <c r="AK42" s="115"/>
      <c r="AL42" s="116"/>
      <c r="AM42" s="116"/>
      <c r="AN42" s="105"/>
      <c r="AO42" s="114"/>
      <c r="AP42" s="115"/>
      <c r="AQ42" s="116"/>
      <c r="AR42" s="116"/>
      <c r="AS42" s="105"/>
      <c r="AT42" s="114"/>
      <c r="AU42" s="115"/>
      <c r="AV42" s="116"/>
      <c r="AW42" s="116"/>
      <c r="AX42" s="105"/>
      <c r="AY42" s="114"/>
      <c r="AZ42" s="115"/>
      <c r="BA42" s="116"/>
      <c r="BB42" s="116"/>
      <c r="BC42" s="105"/>
      <c r="BD42" s="114"/>
      <c r="BE42" s="115"/>
      <c r="BF42" s="116"/>
      <c r="BG42" s="116"/>
      <c r="BH42" s="105"/>
      <c r="BI42" s="114"/>
      <c r="BJ42" s="115"/>
      <c r="BK42" s="116"/>
      <c r="BL42" s="116"/>
      <c r="BM42" s="105"/>
      <c r="BN42" s="114"/>
      <c r="BO42" s="115"/>
      <c r="BP42" s="116"/>
      <c r="BQ42" s="116"/>
      <c r="BR42" s="105"/>
      <c r="BS42" s="114">
        <f>月報!R44</f>
        <v>0</v>
      </c>
      <c r="BT42" s="115">
        <f>月報!S44</f>
        <v>0</v>
      </c>
      <c r="BU42" s="116">
        <f>月報!T44</f>
        <v>0</v>
      </c>
      <c r="BV42" s="116">
        <f>月報!U44</f>
        <v>0</v>
      </c>
      <c r="BW42" s="105">
        <f>月報!V44</f>
        <v>0</v>
      </c>
    </row>
    <row r="43" spans="2:75" x14ac:dyDescent="0.45">
      <c r="B43" s="177"/>
      <c r="C43" s="179"/>
      <c r="D43" s="180"/>
      <c r="E43" s="181"/>
      <c r="F43" s="191"/>
      <c r="G43" s="192"/>
      <c r="H43" s="192"/>
      <c r="I43" s="192"/>
      <c r="J43" s="194"/>
      <c r="K43" s="114"/>
      <c r="L43" s="115"/>
      <c r="M43" s="116"/>
      <c r="N43" s="116"/>
      <c r="O43" s="105"/>
      <c r="P43" s="114"/>
      <c r="Q43" s="115"/>
      <c r="R43" s="116"/>
      <c r="S43" s="116"/>
      <c r="T43" s="105"/>
      <c r="U43" s="114"/>
      <c r="V43" s="115"/>
      <c r="W43" s="116"/>
      <c r="X43" s="116"/>
      <c r="Y43" s="105"/>
      <c r="Z43" s="114"/>
      <c r="AA43" s="115"/>
      <c r="AB43" s="116"/>
      <c r="AC43" s="116"/>
      <c r="AD43" s="105"/>
      <c r="AE43" s="114"/>
      <c r="AF43" s="115"/>
      <c r="AG43" s="116"/>
      <c r="AH43" s="116"/>
      <c r="AI43" s="105"/>
      <c r="AJ43" s="114"/>
      <c r="AK43" s="115"/>
      <c r="AL43" s="116"/>
      <c r="AM43" s="116"/>
      <c r="AN43" s="105"/>
      <c r="AO43" s="114"/>
      <c r="AP43" s="115"/>
      <c r="AQ43" s="116"/>
      <c r="AR43" s="116"/>
      <c r="AS43" s="105"/>
      <c r="AT43" s="114"/>
      <c r="AU43" s="115"/>
      <c r="AV43" s="116"/>
      <c r="AW43" s="116"/>
      <c r="AX43" s="105"/>
      <c r="AY43" s="114"/>
      <c r="AZ43" s="115"/>
      <c r="BA43" s="116"/>
      <c r="BB43" s="116"/>
      <c r="BC43" s="105"/>
      <c r="BD43" s="114"/>
      <c r="BE43" s="115"/>
      <c r="BF43" s="116"/>
      <c r="BG43" s="116"/>
      <c r="BH43" s="105"/>
      <c r="BI43" s="114"/>
      <c r="BJ43" s="115"/>
      <c r="BK43" s="116"/>
      <c r="BL43" s="116"/>
      <c r="BM43" s="105"/>
      <c r="BN43" s="114"/>
      <c r="BO43" s="115"/>
      <c r="BP43" s="116"/>
      <c r="BQ43" s="116"/>
      <c r="BR43" s="105"/>
      <c r="BS43" s="114"/>
      <c r="BT43" s="115"/>
      <c r="BU43" s="116"/>
      <c r="BV43" s="116"/>
      <c r="BW43" s="105"/>
    </row>
    <row r="44" spans="2:75" x14ac:dyDescent="0.45">
      <c r="B44" s="177"/>
      <c r="C44" s="179"/>
      <c r="D44" s="180"/>
      <c r="E44" s="181"/>
      <c r="F44" s="162" t="s">
        <v>59</v>
      </c>
      <c r="G44" s="163"/>
      <c r="H44" s="163"/>
      <c r="I44" s="163"/>
      <c r="J44" s="45"/>
      <c r="K44" s="114"/>
      <c r="L44" s="115"/>
      <c r="M44" s="116"/>
      <c r="N44" s="116"/>
      <c r="O44" s="105"/>
      <c r="P44" s="114"/>
      <c r="Q44" s="115"/>
      <c r="R44" s="116"/>
      <c r="S44" s="116"/>
      <c r="T44" s="105"/>
      <c r="U44" s="114"/>
      <c r="V44" s="115"/>
      <c r="W44" s="116"/>
      <c r="X44" s="116"/>
      <c r="Y44" s="105"/>
      <c r="Z44" s="114"/>
      <c r="AA44" s="115"/>
      <c r="AB44" s="116"/>
      <c r="AC44" s="116"/>
      <c r="AD44" s="105"/>
      <c r="AE44" s="114"/>
      <c r="AF44" s="115"/>
      <c r="AG44" s="116"/>
      <c r="AH44" s="116"/>
      <c r="AI44" s="105"/>
      <c r="AJ44" s="114"/>
      <c r="AK44" s="115"/>
      <c r="AL44" s="116"/>
      <c r="AM44" s="116"/>
      <c r="AN44" s="105"/>
      <c r="AO44" s="114"/>
      <c r="AP44" s="115"/>
      <c r="AQ44" s="116"/>
      <c r="AR44" s="116"/>
      <c r="AS44" s="105"/>
      <c r="AT44" s="114"/>
      <c r="AU44" s="115"/>
      <c r="AV44" s="116"/>
      <c r="AW44" s="116"/>
      <c r="AX44" s="105"/>
      <c r="AY44" s="114"/>
      <c r="AZ44" s="115"/>
      <c r="BA44" s="116"/>
      <c r="BB44" s="116"/>
      <c r="BC44" s="105"/>
      <c r="BD44" s="114"/>
      <c r="BE44" s="115"/>
      <c r="BF44" s="116"/>
      <c r="BG44" s="116"/>
      <c r="BH44" s="105"/>
      <c r="BI44" s="114"/>
      <c r="BJ44" s="115"/>
      <c r="BK44" s="116"/>
      <c r="BL44" s="116"/>
      <c r="BM44" s="105"/>
      <c r="BN44" s="114"/>
      <c r="BO44" s="115"/>
      <c r="BP44" s="116"/>
      <c r="BQ44" s="116"/>
      <c r="BR44" s="105"/>
      <c r="BS44" s="114">
        <f>月報!R46</f>
        <v>0</v>
      </c>
      <c r="BT44" s="115">
        <f>月報!S46</f>
        <v>0</v>
      </c>
      <c r="BU44" s="116">
        <f>月報!T46</f>
        <v>0</v>
      </c>
      <c r="BV44" s="116">
        <f>月報!U46</f>
        <v>0</v>
      </c>
      <c r="BW44" s="105">
        <f>月報!V46</f>
        <v>0</v>
      </c>
    </row>
    <row r="45" spans="2:75" x14ac:dyDescent="0.45">
      <c r="B45" s="177"/>
      <c r="C45" s="179"/>
      <c r="D45" s="180"/>
      <c r="E45" s="181"/>
      <c r="F45" s="186"/>
      <c r="G45" s="187"/>
      <c r="H45" s="187"/>
      <c r="I45" s="187"/>
      <c r="J45" s="46"/>
      <c r="K45" s="114"/>
      <c r="L45" s="115"/>
      <c r="M45" s="116"/>
      <c r="N45" s="116"/>
      <c r="O45" s="105"/>
      <c r="P45" s="114"/>
      <c r="Q45" s="115"/>
      <c r="R45" s="116"/>
      <c r="S45" s="116"/>
      <c r="T45" s="105"/>
      <c r="U45" s="114"/>
      <c r="V45" s="115"/>
      <c r="W45" s="116"/>
      <c r="X45" s="116"/>
      <c r="Y45" s="105"/>
      <c r="Z45" s="114"/>
      <c r="AA45" s="115"/>
      <c r="AB45" s="116"/>
      <c r="AC45" s="116"/>
      <c r="AD45" s="105"/>
      <c r="AE45" s="114"/>
      <c r="AF45" s="115"/>
      <c r="AG45" s="116"/>
      <c r="AH45" s="116"/>
      <c r="AI45" s="105"/>
      <c r="AJ45" s="114"/>
      <c r="AK45" s="115"/>
      <c r="AL45" s="116"/>
      <c r="AM45" s="116"/>
      <c r="AN45" s="105"/>
      <c r="AO45" s="114"/>
      <c r="AP45" s="115"/>
      <c r="AQ45" s="116"/>
      <c r="AR45" s="116"/>
      <c r="AS45" s="105"/>
      <c r="AT45" s="114"/>
      <c r="AU45" s="115"/>
      <c r="AV45" s="116"/>
      <c r="AW45" s="116"/>
      <c r="AX45" s="105"/>
      <c r="AY45" s="114"/>
      <c r="AZ45" s="115"/>
      <c r="BA45" s="116"/>
      <c r="BB45" s="116"/>
      <c r="BC45" s="105"/>
      <c r="BD45" s="114"/>
      <c r="BE45" s="115"/>
      <c r="BF45" s="116"/>
      <c r="BG45" s="116"/>
      <c r="BH45" s="105"/>
      <c r="BI45" s="114"/>
      <c r="BJ45" s="115"/>
      <c r="BK45" s="116"/>
      <c r="BL45" s="116"/>
      <c r="BM45" s="105"/>
      <c r="BN45" s="114"/>
      <c r="BO45" s="115"/>
      <c r="BP45" s="116"/>
      <c r="BQ45" s="116"/>
      <c r="BR45" s="105"/>
      <c r="BS45" s="114"/>
      <c r="BT45" s="115"/>
      <c r="BU45" s="116"/>
      <c r="BV45" s="116"/>
      <c r="BW45" s="105"/>
    </row>
    <row r="46" spans="2:75" x14ac:dyDescent="0.45">
      <c r="B46" s="177"/>
      <c r="C46" s="49"/>
      <c r="D46" s="49"/>
      <c r="E46" s="49"/>
      <c r="F46" s="119" t="s">
        <v>54</v>
      </c>
      <c r="G46" s="119"/>
      <c r="H46" s="119"/>
      <c r="I46" s="119"/>
      <c r="J46" s="140" t="s">
        <v>60</v>
      </c>
      <c r="K46" s="114"/>
      <c r="L46" s="115"/>
      <c r="M46" s="116"/>
      <c r="N46" s="116"/>
      <c r="O46" s="105"/>
      <c r="P46" s="114"/>
      <c r="Q46" s="115"/>
      <c r="R46" s="116"/>
      <c r="S46" s="116"/>
      <c r="T46" s="105"/>
      <c r="U46" s="114"/>
      <c r="V46" s="115"/>
      <c r="W46" s="116"/>
      <c r="X46" s="116"/>
      <c r="Y46" s="105"/>
      <c r="Z46" s="114"/>
      <c r="AA46" s="115"/>
      <c r="AB46" s="116"/>
      <c r="AC46" s="116"/>
      <c r="AD46" s="105"/>
      <c r="AE46" s="114"/>
      <c r="AF46" s="115"/>
      <c r="AG46" s="116"/>
      <c r="AH46" s="116"/>
      <c r="AI46" s="105"/>
      <c r="AJ46" s="114"/>
      <c r="AK46" s="115"/>
      <c r="AL46" s="116"/>
      <c r="AM46" s="116"/>
      <c r="AN46" s="105"/>
      <c r="AO46" s="114"/>
      <c r="AP46" s="115"/>
      <c r="AQ46" s="116"/>
      <c r="AR46" s="116"/>
      <c r="AS46" s="105"/>
      <c r="AT46" s="114"/>
      <c r="AU46" s="115"/>
      <c r="AV46" s="116"/>
      <c r="AW46" s="116"/>
      <c r="AX46" s="105"/>
      <c r="AY46" s="114"/>
      <c r="AZ46" s="115"/>
      <c r="BA46" s="116"/>
      <c r="BB46" s="116"/>
      <c r="BC46" s="105"/>
      <c r="BD46" s="114"/>
      <c r="BE46" s="115"/>
      <c r="BF46" s="116"/>
      <c r="BG46" s="116"/>
      <c r="BH46" s="105"/>
      <c r="BI46" s="114"/>
      <c r="BJ46" s="115"/>
      <c r="BK46" s="116"/>
      <c r="BL46" s="116"/>
      <c r="BM46" s="105"/>
      <c r="BN46" s="114"/>
      <c r="BO46" s="115"/>
      <c r="BP46" s="116"/>
      <c r="BQ46" s="116"/>
      <c r="BR46" s="105"/>
      <c r="BS46" s="114">
        <f>月報!R48</f>
        <v>0</v>
      </c>
      <c r="BT46" s="115">
        <f>月報!S48</f>
        <v>0</v>
      </c>
      <c r="BU46" s="116">
        <f>月報!T48</f>
        <v>0</v>
      </c>
      <c r="BV46" s="116">
        <f>月報!U48</f>
        <v>0</v>
      </c>
      <c r="BW46" s="105">
        <f>月報!V48</f>
        <v>0</v>
      </c>
    </row>
    <row r="47" spans="2:75" x14ac:dyDescent="0.45">
      <c r="B47" s="177"/>
      <c r="C47" s="50"/>
      <c r="D47" s="51"/>
      <c r="E47" s="51"/>
      <c r="F47" s="121"/>
      <c r="G47" s="121"/>
      <c r="H47" s="121"/>
      <c r="I47" s="121"/>
      <c r="J47" s="141"/>
      <c r="K47" s="114"/>
      <c r="L47" s="115"/>
      <c r="M47" s="116"/>
      <c r="N47" s="116"/>
      <c r="O47" s="105"/>
      <c r="P47" s="114"/>
      <c r="Q47" s="115"/>
      <c r="R47" s="116"/>
      <c r="S47" s="116"/>
      <c r="T47" s="105"/>
      <c r="U47" s="114"/>
      <c r="V47" s="115"/>
      <c r="W47" s="116"/>
      <c r="X47" s="116"/>
      <c r="Y47" s="105"/>
      <c r="Z47" s="114"/>
      <c r="AA47" s="115"/>
      <c r="AB47" s="116"/>
      <c r="AC47" s="116"/>
      <c r="AD47" s="105"/>
      <c r="AE47" s="114"/>
      <c r="AF47" s="115"/>
      <c r="AG47" s="116"/>
      <c r="AH47" s="116"/>
      <c r="AI47" s="105"/>
      <c r="AJ47" s="114"/>
      <c r="AK47" s="115"/>
      <c r="AL47" s="116"/>
      <c r="AM47" s="116"/>
      <c r="AN47" s="105"/>
      <c r="AO47" s="114"/>
      <c r="AP47" s="115"/>
      <c r="AQ47" s="116"/>
      <c r="AR47" s="116"/>
      <c r="AS47" s="105"/>
      <c r="AT47" s="114"/>
      <c r="AU47" s="115"/>
      <c r="AV47" s="116"/>
      <c r="AW47" s="116"/>
      <c r="AX47" s="105"/>
      <c r="AY47" s="114"/>
      <c r="AZ47" s="115"/>
      <c r="BA47" s="116"/>
      <c r="BB47" s="116"/>
      <c r="BC47" s="105"/>
      <c r="BD47" s="114"/>
      <c r="BE47" s="115"/>
      <c r="BF47" s="116"/>
      <c r="BG47" s="116"/>
      <c r="BH47" s="105"/>
      <c r="BI47" s="114"/>
      <c r="BJ47" s="115"/>
      <c r="BK47" s="116"/>
      <c r="BL47" s="116"/>
      <c r="BM47" s="105"/>
      <c r="BN47" s="114"/>
      <c r="BO47" s="115"/>
      <c r="BP47" s="116"/>
      <c r="BQ47" s="116"/>
      <c r="BR47" s="105"/>
      <c r="BS47" s="114"/>
      <c r="BT47" s="115"/>
      <c r="BU47" s="116"/>
      <c r="BV47" s="116"/>
      <c r="BW47" s="105"/>
    </row>
    <row r="48" spans="2:75" x14ac:dyDescent="0.45">
      <c r="B48" s="176"/>
      <c r="C48" s="106" t="s">
        <v>61</v>
      </c>
      <c r="D48" s="106"/>
      <c r="E48" s="106"/>
      <c r="F48" s="108" t="s">
        <v>62</v>
      </c>
      <c r="G48" s="108"/>
      <c r="H48" s="108"/>
      <c r="I48" s="109"/>
      <c r="J48" s="112" t="s">
        <v>63</v>
      </c>
      <c r="K48" s="114"/>
      <c r="L48" s="115"/>
      <c r="M48" s="116"/>
      <c r="N48" s="116"/>
      <c r="O48" s="105"/>
      <c r="P48" s="114"/>
      <c r="Q48" s="115"/>
      <c r="R48" s="116"/>
      <c r="S48" s="116"/>
      <c r="T48" s="105"/>
      <c r="U48" s="114"/>
      <c r="V48" s="115"/>
      <c r="W48" s="116"/>
      <c r="X48" s="116"/>
      <c r="Y48" s="105"/>
      <c r="Z48" s="114"/>
      <c r="AA48" s="115"/>
      <c r="AB48" s="116"/>
      <c r="AC48" s="116"/>
      <c r="AD48" s="105"/>
      <c r="AE48" s="114"/>
      <c r="AF48" s="115"/>
      <c r="AG48" s="116"/>
      <c r="AH48" s="116"/>
      <c r="AI48" s="105"/>
      <c r="AJ48" s="114"/>
      <c r="AK48" s="115"/>
      <c r="AL48" s="116"/>
      <c r="AM48" s="116"/>
      <c r="AN48" s="105"/>
      <c r="AO48" s="114"/>
      <c r="AP48" s="115"/>
      <c r="AQ48" s="116"/>
      <c r="AR48" s="116"/>
      <c r="AS48" s="105"/>
      <c r="AT48" s="114"/>
      <c r="AU48" s="115"/>
      <c r="AV48" s="116"/>
      <c r="AW48" s="116"/>
      <c r="AX48" s="105"/>
      <c r="AY48" s="114"/>
      <c r="AZ48" s="115"/>
      <c r="BA48" s="116"/>
      <c r="BB48" s="116"/>
      <c r="BC48" s="105"/>
      <c r="BD48" s="114"/>
      <c r="BE48" s="115"/>
      <c r="BF48" s="116"/>
      <c r="BG48" s="116"/>
      <c r="BH48" s="105"/>
      <c r="BI48" s="114"/>
      <c r="BJ48" s="115"/>
      <c r="BK48" s="116"/>
      <c r="BL48" s="116"/>
      <c r="BM48" s="105"/>
      <c r="BN48" s="114"/>
      <c r="BO48" s="115"/>
      <c r="BP48" s="116"/>
      <c r="BQ48" s="116"/>
      <c r="BR48" s="105"/>
      <c r="BS48" s="114">
        <f>月報!R50</f>
        <v>0</v>
      </c>
      <c r="BT48" s="115">
        <f>月報!S50</f>
        <v>0</v>
      </c>
      <c r="BU48" s="116">
        <f>月報!T50</f>
        <v>0</v>
      </c>
      <c r="BV48" s="116">
        <f>月報!U50</f>
        <v>0</v>
      </c>
      <c r="BW48" s="105">
        <f>月報!V50</f>
        <v>0</v>
      </c>
    </row>
    <row r="49" spans="2:75" x14ac:dyDescent="0.45">
      <c r="B49" s="176"/>
      <c r="C49" s="149"/>
      <c r="D49" s="149"/>
      <c r="E49" s="149"/>
      <c r="F49" s="150"/>
      <c r="G49" s="150"/>
      <c r="H49" s="150"/>
      <c r="I49" s="151"/>
      <c r="J49" s="152"/>
      <c r="K49" s="114"/>
      <c r="L49" s="115"/>
      <c r="M49" s="116"/>
      <c r="N49" s="116"/>
      <c r="O49" s="105"/>
      <c r="P49" s="114"/>
      <c r="Q49" s="115"/>
      <c r="R49" s="116"/>
      <c r="S49" s="116"/>
      <c r="T49" s="105"/>
      <c r="U49" s="114"/>
      <c r="V49" s="115"/>
      <c r="W49" s="116"/>
      <c r="X49" s="116"/>
      <c r="Y49" s="105"/>
      <c r="Z49" s="114"/>
      <c r="AA49" s="115"/>
      <c r="AB49" s="116"/>
      <c r="AC49" s="116"/>
      <c r="AD49" s="105"/>
      <c r="AE49" s="114"/>
      <c r="AF49" s="115"/>
      <c r="AG49" s="116"/>
      <c r="AH49" s="116"/>
      <c r="AI49" s="105"/>
      <c r="AJ49" s="114"/>
      <c r="AK49" s="115"/>
      <c r="AL49" s="116"/>
      <c r="AM49" s="116"/>
      <c r="AN49" s="105"/>
      <c r="AO49" s="114"/>
      <c r="AP49" s="115"/>
      <c r="AQ49" s="116"/>
      <c r="AR49" s="116"/>
      <c r="AS49" s="105"/>
      <c r="AT49" s="114"/>
      <c r="AU49" s="115"/>
      <c r="AV49" s="116"/>
      <c r="AW49" s="116"/>
      <c r="AX49" s="105"/>
      <c r="AY49" s="114"/>
      <c r="AZ49" s="115"/>
      <c r="BA49" s="116"/>
      <c r="BB49" s="116"/>
      <c r="BC49" s="105"/>
      <c r="BD49" s="114"/>
      <c r="BE49" s="115"/>
      <c r="BF49" s="116"/>
      <c r="BG49" s="116"/>
      <c r="BH49" s="105"/>
      <c r="BI49" s="114"/>
      <c r="BJ49" s="115"/>
      <c r="BK49" s="116"/>
      <c r="BL49" s="116"/>
      <c r="BM49" s="105"/>
      <c r="BN49" s="114"/>
      <c r="BO49" s="115"/>
      <c r="BP49" s="116"/>
      <c r="BQ49" s="116"/>
      <c r="BR49" s="105"/>
      <c r="BS49" s="114"/>
      <c r="BT49" s="115"/>
      <c r="BU49" s="116"/>
      <c r="BV49" s="116"/>
      <c r="BW49" s="105"/>
    </row>
    <row r="50" spans="2:75" x14ac:dyDescent="0.45">
      <c r="B50" s="177"/>
      <c r="C50" s="162" t="s">
        <v>64</v>
      </c>
      <c r="D50" s="163"/>
      <c r="E50" s="163"/>
      <c r="F50" s="166" t="s">
        <v>65</v>
      </c>
      <c r="G50" s="166"/>
      <c r="H50" s="166"/>
      <c r="I50" s="167"/>
      <c r="J50" s="140"/>
      <c r="K50" s="170"/>
      <c r="L50" s="172"/>
      <c r="M50" s="174"/>
      <c r="N50" s="174"/>
      <c r="O50" s="145"/>
      <c r="P50" s="170"/>
      <c r="Q50" s="172"/>
      <c r="R50" s="174"/>
      <c r="S50" s="174"/>
      <c r="T50" s="145"/>
      <c r="U50" s="170"/>
      <c r="V50" s="172"/>
      <c r="W50" s="174"/>
      <c r="X50" s="174"/>
      <c r="Y50" s="145"/>
      <c r="Z50" s="170"/>
      <c r="AA50" s="172"/>
      <c r="AB50" s="174"/>
      <c r="AC50" s="174"/>
      <c r="AD50" s="145"/>
      <c r="AE50" s="170"/>
      <c r="AF50" s="172"/>
      <c r="AG50" s="174"/>
      <c r="AH50" s="174"/>
      <c r="AI50" s="145"/>
      <c r="AJ50" s="170"/>
      <c r="AK50" s="172"/>
      <c r="AL50" s="174"/>
      <c r="AM50" s="174"/>
      <c r="AN50" s="145"/>
      <c r="AO50" s="170"/>
      <c r="AP50" s="172"/>
      <c r="AQ50" s="174"/>
      <c r="AR50" s="174"/>
      <c r="AS50" s="145"/>
      <c r="AT50" s="170"/>
      <c r="AU50" s="172"/>
      <c r="AV50" s="174"/>
      <c r="AW50" s="174"/>
      <c r="AX50" s="145"/>
      <c r="AY50" s="170"/>
      <c r="AZ50" s="172"/>
      <c r="BA50" s="174"/>
      <c r="BB50" s="174"/>
      <c r="BC50" s="145"/>
      <c r="BD50" s="170"/>
      <c r="BE50" s="172"/>
      <c r="BF50" s="174"/>
      <c r="BG50" s="174"/>
      <c r="BH50" s="145"/>
      <c r="BI50" s="170"/>
      <c r="BJ50" s="172"/>
      <c r="BK50" s="174"/>
      <c r="BL50" s="174"/>
      <c r="BM50" s="145"/>
      <c r="BN50" s="170"/>
      <c r="BO50" s="172"/>
      <c r="BP50" s="174"/>
      <c r="BQ50" s="174"/>
      <c r="BR50" s="145"/>
      <c r="BS50" s="170">
        <f>月報!R52</f>
        <v>0</v>
      </c>
      <c r="BT50" s="172">
        <f>月報!S52</f>
        <v>0</v>
      </c>
      <c r="BU50" s="174">
        <f>月報!T52</f>
        <v>0</v>
      </c>
      <c r="BV50" s="174">
        <f>月報!U52</f>
        <v>0</v>
      </c>
      <c r="BW50" s="145">
        <f>月報!V52</f>
        <v>0</v>
      </c>
    </row>
    <row r="51" spans="2:75" x14ac:dyDescent="0.45">
      <c r="B51" s="177"/>
      <c r="C51" s="186"/>
      <c r="D51" s="187"/>
      <c r="E51" s="187"/>
      <c r="F51" s="184"/>
      <c r="G51" s="184"/>
      <c r="H51" s="184"/>
      <c r="I51" s="185"/>
      <c r="J51" s="141"/>
      <c r="K51" s="170"/>
      <c r="L51" s="172"/>
      <c r="M51" s="174"/>
      <c r="N51" s="174"/>
      <c r="O51" s="145"/>
      <c r="P51" s="170"/>
      <c r="Q51" s="172"/>
      <c r="R51" s="174"/>
      <c r="S51" s="174"/>
      <c r="T51" s="145"/>
      <c r="U51" s="170"/>
      <c r="V51" s="172"/>
      <c r="W51" s="174"/>
      <c r="X51" s="174"/>
      <c r="Y51" s="145"/>
      <c r="Z51" s="170"/>
      <c r="AA51" s="172"/>
      <c r="AB51" s="174"/>
      <c r="AC51" s="174"/>
      <c r="AD51" s="145"/>
      <c r="AE51" s="170"/>
      <c r="AF51" s="172"/>
      <c r="AG51" s="174"/>
      <c r="AH51" s="174"/>
      <c r="AI51" s="145"/>
      <c r="AJ51" s="170"/>
      <c r="AK51" s="172"/>
      <c r="AL51" s="174"/>
      <c r="AM51" s="174"/>
      <c r="AN51" s="145"/>
      <c r="AO51" s="170"/>
      <c r="AP51" s="172"/>
      <c r="AQ51" s="174"/>
      <c r="AR51" s="174"/>
      <c r="AS51" s="145"/>
      <c r="AT51" s="170"/>
      <c r="AU51" s="172"/>
      <c r="AV51" s="174"/>
      <c r="AW51" s="174"/>
      <c r="AX51" s="145"/>
      <c r="AY51" s="170"/>
      <c r="AZ51" s="172"/>
      <c r="BA51" s="174"/>
      <c r="BB51" s="174"/>
      <c r="BC51" s="145"/>
      <c r="BD51" s="170"/>
      <c r="BE51" s="172"/>
      <c r="BF51" s="174"/>
      <c r="BG51" s="174"/>
      <c r="BH51" s="145"/>
      <c r="BI51" s="170"/>
      <c r="BJ51" s="172"/>
      <c r="BK51" s="174"/>
      <c r="BL51" s="174"/>
      <c r="BM51" s="145"/>
      <c r="BN51" s="170"/>
      <c r="BO51" s="172"/>
      <c r="BP51" s="174"/>
      <c r="BQ51" s="174"/>
      <c r="BR51" s="145"/>
      <c r="BS51" s="170"/>
      <c r="BT51" s="172"/>
      <c r="BU51" s="174"/>
      <c r="BV51" s="174"/>
      <c r="BW51" s="145"/>
    </row>
    <row r="52" spans="2:75" x14ac:dyDescent="0.45">
      <c r="B52" s="177"/>
      <c r="C52" s="182" t="s">
        <v>66</v>
      </c>
      <c r="D52" s="166"/>
      <c r="E52" s="166"/>
      <c r="F52" s="166" t="s">
        <v>67</v>
      </c>
      <c r="G52" s="166"/>
      <c r="H52" s="166"/>
      <c r="I52" s="167"/>
      <c r="J52" s="23"/>
      <c r="K52" s="170"/>
      <c r="L52" s="172"/>
      <c r="M52" s="174"/>
      <c r="N52" s="174"/>
      <c r="O52" s="145"/>
      <c r="P52" s="170"/>
      <c r="Q52" s="172"/>
      <c r="R52" s="174"/>
      <c r="S52" s="174"/>
      <c r="T52" s="145"/>
      <c r="U52" s="170"/>
      <c r="V52" s="172"/>
      <c r="W52" s="174"/>
      <c r="X52" s="174"/>
      <c r="Y52" s="145"/>
      <c r="Z52" s="170"/>
      <c r="AA52" s="172"/>
      <c r="AB52" s="174"/>
      <c r="AC52" s="174"/>
      <c r="AD52" s="145"/>
      <c r="AE52" s="170"/>
      <c r="AF52" s="172"/>
      <c r="AG52" s="174"/>
      <c r="AH52" s="174"/>
      <c r="AI52" s="145"/>
      <c r="AJ52" s="170"/>
      <c r="AK52" s="172"/>
      <c r="AL52" s="174"/>
      <c r="AM52" s="174"/>
      <c r="AN52" s="145"/>
      <c r="AO52" s="170"/>
      <c r="AP52" s="172"/>
      <c r="AQ52" s="174"/>
      <c r="AR52" s="174"/>
      <c r="AS52" s="145"/>
      <c r="AT52" s="170"/>
      <c r="AU52" s="172"/>
      <c r="AV52" s="174"/>
      <c r="AW52" s="174"/>
      <c r="AX52" s="145"/>
      <c r="AY52" s="170"/>
      <c r="AZ52" s="172"/>
      <c r="BA52" s="174"/>
      <c r="BB52" s="174"/>
      <c r="BC52" s="145"/>
      <c r="BD52" s="170"/>
      <c r="BE52" s="172"/>
      <c r="BF52" s="174"/>
      <c r="BG52" s="174"/>
      <c r="BH52" s="145"/>
      <c r="BI52" s="170"/>
      <c r="BJ52" s="172"/>
      <c r="BK52" s="174"/>
      <c r="BL52" s="174"/>
      <c r="BM52" s="145"/>
      <c r="BN52" s="170"/>
      <c r="BO52" s="172"/>
      <c r="BP52" s="174"/>
      <c r="BQ52" s="174"/>
      <c r="BR52" s="145"/>
      <c r="BS52" s="170">
        <f>月報!R54</f>
        <v>0</v>
      </c>
      <c r="BT52" s="172">
        <f>月報!S54</f>
        <v>0</v>
      </c>
      <c r="BU52" s="174">
        <f>月報!T54</f>
        <v>0</v>
      </c>
      <c r="BV52" s="174">
        <f>月報!U54</f>
        <v>0</v>
      </c>
      <c r="BW52" s="145">
        <f>月報!V54</f>
        <v>0</v>
      </c>
    </row>
    <row r="53" spans="2:75" x14ac:dyDescent="0.45">
      <c r="B53" s="177"/>
      <c r="C53" s="183"/>
      <c r="D53" s="184"/>
      <c r="E53" s="184"/>
      <c r="F53" s="184"/>
      <c r="G53" s="184"/>
      <c r="H53" s="184"/>
      <c r="I53" s="185"/>
      <c r="J53" s="25"/>
      <c r="K53" s="170"/>
      <c r="L53" s="172"/>
      <c r="M53" s="174"/>
      <c r="N53" s="174"/>
      <c r="O53" s="145"/>
      <c r="P53" s="170"/>
      <c r="Q53" s="172"/>
      <c r="R53" s="174"/>
      <c r="S53" s="174"/>
      <c r="T53" s="145"/>
      <c r="U53" s="170"/>
      <c r="V53" s="172"/>
      <c r="W53" s="174"/>
      <c r="X53" s="174"/>
      <c r="Y53" s="145"/>
      <c r="Z53" s="170"/>
      <c r="AA53" s="172"/>
      <c r="AB53" s="174"/>
      <c r="AC53" s="174"/>
      <c r="AD53" s="145"/>
      <c r="AE53" s="170"/>
      <c r="AF53" s="172"/>
      <c r="AG53" s="174"/>
      <c r="AH53" s="174"/>
      <c r="AI53" s="145"/>
      <c r="AJ53" s="170"/>
      <c r="AK53" s="172"/>
      <c r="AL53" s="174"/>
      <c r="AM53" s="174"/>
      <c r="AN53" s="145"/>
      <c r="AO53" s="170"/>
      <c r="AP53" s="172"/>
      <c r="AQ53" s="174"/>
      <c r="AR53" s="174"/>
      <c r="AS53" s="145"/>
      <c r="AT53" s="170"/>
      <c r="AU53" s="172"/>
      <c r="AV53" s="174"/>
      <c r="AW53" s="174"/>
      <c r="AX53" s="145"/>
      <c r="AY53" s="170"/>
      <c r="AZ53" s="172"/>
      <c r="BA53" s="174"/>
      <c r="BB53" s="174"/>
      <c r="BC53" s="145"/>
      <c r="BD53" s="170"/>
      <c r="BE53" s="172"/>
      <c r="BF53" s="174"/>
      <c r="BG53" s="174"/>
      <c r="BH53" s="145"/>
      <c r="BI53" s="170"/>
      <c r="BJ53" s="172"/>
      <c r="BK53" s="174"/>
      <c r="BL53" s="174"/>
      <c r="BM53" s="145"/>
      <c r="BN53" s="170"/>
      <c r="BO53" s="172"/>
      <c r="BP53" s="174"/>
      <c r="BQ53" s="174"/>
      <c r="BR53" s="145"/>
      <c r="BS53" s="170"/>
      <c r="BT53" s="172"/>
      <c r="BU53" s="174"/>
      <c r="BV53" s="174"/>
      <c r="BW53" s="145"/>
    </row>
    <row r="54" spans="2:75" x14ac:dyDescent="0.45">
      <c r="B54" s="177"/>
      <c r="C54" s="162" t="s">
        <v>68</v>
      </c>
      <c r="D54" s="163"/>
      <c r="E54" s="163"/>
      <c r="F54" s="166" t="s">
        <v>69</v>
      </c>
      <c r="G54" s="166"/>
      <c r="H54" s="166"/>
      <c r="I54" s="167"/>
      <c r="J54" s="33"/>
      <c r="K54" s="170"/>
      <c r="L54" s="172"/>
      <c r="M54" s="174"/>
      <c r="N54" s="174"/>
      <c r="O54" s="145"/>
      <c r="P54" s="170"/>
      <c r="Q54" s="172"/>
      <c r="R54" s="174"/>
      <c r="S54" s="174"/>
      <c r="T54" s="145"/>
      <c r="U54" s="170"/>
      <c r="V54" s="172"/>
      <c r="W54" s="174"/>
      <c r="X54" s="174"/>
      <c r="Y54" s="145"/>
      <c r="Z54" s="170"/>
      <c r="AA54" s="172"/>
      <c r="AB54" s="174"/>
      <c r="AC54" s="174"/>
      <c r="AD54" s="145"/>
      <c r="AE54" s="170"/>
      <c r="AF54" s="172"/>
      <c r="AG54" s="174"/>
      <c r="AH54" s="174"/>
      <c r="AI54" s="145"/>
      <c r="AJ54" s="170"/>
      <c r="AK54" s="172"/>
      <c r="AL54" s="174"/>
      <c r="AM54" s="174"/>
      <c r="AN54" s="145"/>
      <c r="AO54" s="170"/>
      <c r="AP54" s="172"/>
      <c r="AQ54" s="174"/>
      <c r="AR54" s="174"/>
      <c r="AS54" s="145"/>
      <c r="AT54" s="170"/>
      <c r="AU54" s="172"/>
      <c r="AV54" s="174"/>
      <c r="AW54" s="174"/>
      <c r="AX54" s="145"/>
      <c r="AY54" s="170"/>
      <c r="AZ54" s="172"/>
      <c r="BA54" s="174"/>
      <c r="BB54" s="174"/>
      <c r="BC54" s="145"/>
      <c r="BD54" s="170"/>
      <c r="BE54" s="172"/>
      <c r="BF54" s="174"/>
      <c r="BG54" s="174"/>
      <c r="BH54" s="145"/>
      <c r="BI54" s="170"/>
      <c r="BJ54" s="172"/>
      <c r="BK54" s="174"/>
      <c r="BL54" s="174"/>
      <c r="BM54" s="145"/>
      <c r="BN54" s="170"/>
      <c r="BO54" s="172"/>
      <c r="BP54" s="174"/>
      <c r="BQ54" s="174"/>
      <c r="BR54" s="145"/>
      <c r="BS54" s="170">
        <f>月報!R56</f>
        <v>0</v>
      </c>
      <c r="BT54" s="172">
        <f>月報!S56</f>
        <v>0</v>
      </c>
      <c r="BU54" s="174">
        <f>月報!T56</f>
        <v>0</v>
      </c>
      <c r="BV54" s="174">
        <f>月報!U56</f>
        <v>0</v>
      </c>
      <c r="BW54" s="145">
        <f>月報!V56</f>
        <v>0</v>
      </c>
    </row>
    <row r="55" spans="2:75" ht="15.6" thickBot="1" x14ac:dyDescent="0.5">
      <c r="B55" s="178"/>
      <c r="C55" s="164"/>
      <c r="D55" s="165"/>
      <c r="E55" s="165"/>
      <c r="F55" s="168"/>
      <c r="G55" s="168"/>
      <c r="H55" s="168"/>
      <c r="I55" s="169"/>
      <c r="J55" s="34"/>
      <c r="K55" s="171"/>
      <c r="L55" s="173"/>
      <c r="M55" s="175"/>
      <c r="N55" s="175"/>
      <c r="O55" s="146"/>
      <c r="P55" s="171"/>
      <c r="Q55" s="173"/>
      <c r="R55" s="175"/>
      <c r="S55" s="175"/>
      <c r="T55" s="146"/>
      <c r="U55" s="171"/>
      <c r="V55" s="173"/>
      <c r="W55" s="175"/>
      <c r="X55" s="175"/>
      <c r="Y55" s="146"/>
      <c r="Z55" s="171"/>
      <c r="AA55" s="173"/>
      <c r="AB55" s="175"/>
      <c r="AC55" s="175"/>
      <c r="AD55" s="146"/>
      <c r="AE55" s="171"/>
      <c r="AF55" s="173"/>
      <c r="AG55" s="175"/>
      <c r="AH55" s="175"/>
      <c r="AI55" s="146"/>
      <c r="AJ55" s="171"/>
      <c r="AK55" s="173"/>
      <c r="AL55" s="175"/>
      <c r="AM55" s="175"/>
      <c r="AN55" s="146"/>
      <c r="AO55" s="171"/>
      <c r="AP55" s="173"/>
      <c r="AQ55" s="175"/>
      <c r="AR55" s="175"/>
      <c r="AS55" s="146"/>
      <c r="AT55" s="171"/>
      <c r="AU55" s="173"/>
      <c r="AV55" s="175"/>
      <c r="AW55" s="175"/>
      <c r="AX55" s="146"/>
      <c r="AY55" s="171"/>
      <c r="AZ55" s="173"/>
      <c r="BA55" s="175"/>
      <c r="BB55" s="175"/>
      <c r="BC55" s="146"/>
      <c r="BD55" s="171"/>
      <c r="BE55" s="173"/>
      <c r="BF55" s="175"/>
      <c r="BG55" s="175"/>
      <c r="BH55" s="146"/>
      <c r="BI55" s="171"/>
      <c r="BJ55" s="173"/>
      <c r="BK55" s="175"/>
      <c r="BL55" s="175"/>
      <c r="BM55" s="146"/>
      <c r="BN55" s="171"/>
      <c r="BO55" s="173"/>
      <c r="BP55" s="175"/>
      <c r="BQ55" s="175"/>
      <c r="BR55" s="146"/>
      <c r="BS55" s="171"/>
      <c r="BT55" s="173"/>
      <c r="BU55" s="175"/>
      <c r="BV55" s="175"/>
      <c r="BW55" s="146"/>
    </row>
    <row r="56" spans="2:75" x14ac:dyDescent="0.45">
      <c r="B56" s="128" t="s">
        <v>70</v>
      </c>
      <c r="C56" s="153" t="s">
        <v>71</v>
      </c>
      <c r="D56" s="154"/>
      <c r="E56" s="155" t="s">
        <v>72</v>
      </c>
      <c r="F56" s="156"/>
      <c r="G56" s="156"/>
      <c r="H56" s="156"/>
      <c r="I56" s="157"/>
      <c r="J56" s="158" t="s">
        <v>73</v>
      </c>
      <c r="K56" s="159"/>
      <c r="L56" s="160"/>
      <c r="M56" s="161"/>
      <c r="N56" s="161"/>
      <c r="O56" s="148"/>
      <c r="P56" s="159"/>
      <c r="Q56" s="160"/>
      <c r="R56" s="161"/>
      <c r="S56" s="161"/>
      <c r="T56" s="148"/>
      <c r="U56" s="159"/>
      <c r="V56" s="160"/>
      <c r="W56" s="161"/>
      <c r="X56" s="161"/>
      <c r="Y56" s="148"/>
      <c r="Z56" s="159"/>
      <c r="AA56" s="160"/>
      <c r="AB56" s="161"/>
      <c r="AC56" s="161"/>
      <c r="AD56" s="148"/>
      <c r="AE56" s="159"/>
      <c r="AF56" s="160"/>
      <c r="AG56" s="161"/>
      <c r="AH56" s="161"/>
      <c r="AI56" s="148"/>
      <c r="AJ56" s="159"/>
      <c r="AK56" s="160"/>
      <c r="AL56" s="161"/>
      <c r="AM56" s="161"/>
      <c r="AN56" s="148"/>
      <c r="AO56" s="159"/>
      <c r="AP56" s="160"/>
      <c r="AQ56" s="161"/>
      <c r="AR56" s="161"/>
      <c r="AS56" s="148"/>
      <c r="AT56" s="159"/>
      <c r="AU56" s="160"/>
      <c r="AV56" s="161"/>
      <c r="AW56" s="161"/>
      <c r="AX56" s="148"/>
      <c r="AY56" s="159"/>
      <c r="AZ56" s="160"/>
      <c r="BA56" s="161"/>
      <c r="BB56" s="161"/>
      <c r="BC56" s="148"/>
      <c r="BD56" s="159"/>
      <c r="BE56" s="160"/>
      <c r="BF56" s="161"/>
      <c r="BG56" s="161"/>
      <c r="BH56" s="148"/>
      <c r="BI56" s="159"/>
      <c r="BJ56" s="160"/>
      <c r="BK56" s="161"/>
      <c r="BL56" s="161"/>
      <c r="BM56" s="148"/>
      <c r="BN56" s="159"/>
      <c r="BO56" s="160"/>
      <c r="BP56" s="161"/>
      <c r="BQ56" s="161"/>
      <c r="BR56" s="148"/>
      <c r="BS56" s="159">
        <f>月報!R58</f>
        <v>0</v>
      </c>
      <c r="BT56" s="160">
        <f>月報!S58</f>
        <v>0</v>
      </c>
      <c r="BU56" s="161">
        <f>月報!T58</f>
        <v>0</v>
      </c>
      <c r="BV56" s="161">
        <f>月報!U58</f>
        <v>0</v>
      </c>
      <c r="BW56" s="148">
        <f>月報!V58</f>
        <v>0</v>
      </c>
    </row>
    <row r="57" spans="2:75" x14ac:dyDescent="0.45">
      <c r="B57" s="129"/>
      <c r="C57" s="120"/>
      <c r="D57" s="121"/>
      <c r="E57" s="125"/>
      <c r="F57" s="126"/>
      <c r="G57" s="126"/>
      <c r="H57" s="126"/>
      <c r="I57" s="127"/>
      <c r="J57" s="141"/>
      <c r="K57" s="114"/>
      <c r="L57" s="115"/>
      <c r="M57" s="116"/>
      <c r="N57" s="116"/>
      <c r="O57" s="105"/>
      <c r="P57" s="114"/>
      <c r="Q57" s="115"/>
      <c r="R57" s="116"/>
      <c r="S57" s="116"/>
      <c r="T57" s="105"/>
      <c r="U57" s="114"/>
      <c r="V57" s="115"/>
      <c r="W57" s="116"/>
      <c r="X57" s="116"/>
      <c r="Y57" s="105"/>
      <c r="Z57" s="114"/>
      <c r="AA57" s="115"/>
      <c r="AB57" s="116"/>
      <c r="AC57" s="116"/>
      <c r="AD57" s="105"/>
      <c r="AE57" s="114"/>
      <c r="AF57" s="115"/>
      <c r="AG57" s="116"/>
      <c r="AH57" s="116"/>
      <c r="AI57" s="105"/>
      <c r="AJ57" s="114"/>
      <c r="AK57" s="115"/>
      <c r="AL57" s="116"/>
      <c r="AM57" s="116"/>
      <c r="AN57" s="105"/>
      <c r="AO57" s="114"/>
      <c r="AP57" s="115"/>
      <c r="AQ57" s="116"/>
      <c r="AR57" s="116"/>
      <c r="AS57" s="105"/>
      <c r="AT57" s="114"/>
      <c r="AU57" s="115"/>
      <c r="AV57" s="116"/>
      <c r="AW57" s="116"/>
      <c r="AX57" s="105"/>
      <c r="AY57" s="114"/>
      <c r="AZ57" s="115"/>
      <c r="BA57" s="116"/>
      <c r="BB57" s="116"/>
      <c r="BC57" s="105"/>
      <c r="BD57" s="114"/>
      <c r="BE57" s="115"/>
      <c r="BF57" s="116"/>
      <c r="BG57" s="116"/>
      <c r="BH57" s="105"/>
      <c r="BI57" s="114"/>
      <c r="BJ57" s="115"/>
      <c r="BK57" s="116"/>
      <c r="BL57" s="116"/>
      <c r="BM57" s="105"/>
      <c r="BN57" s="114"/>
      <c r="BO57" s="115"/>
      <c r="BP57" s="116"/>
      <c r="BQ57" s="116"/>
      <c r="BR57" s="105"/>
      <c r="BS57" s="114"/>
      <c r="BT57" s="115"/>
      <c r="BU57" s="116"/>
      <c r="BV57" s="116"/>
      <c r="BW57" s="105"/>
    </row>
    <row r="58" spans="2:75" x14ac:dyDescent="0.45">
      <c r="B58" s="129"/>
      <c r="C58" s="132" t="s">
        <v>74</v>
      </c>
      <c r="D58" s="133"/>
      <c r="E58" s="134" t="s">
        <v>75</v>
      </c>
      <c r="F58" s="135"/>
      <c r="G58" s="135"/>
      <c r="H58" s="135"/>
      <c r="I58" s="136"/>
      <c r="J58" s="140" t="s">
        <v>48</v>
      </c>
      <c r="K58" s="114"/>
      <c r="L58" s="115"/>
      <c r="M58" s="116"/>
      <c r="N58" s="116"/>
      <c r="O58" s="105"/>
      <c r="P58" s="114"/>
      <c r="Q58" s="115"/>
      <c r="R58" s="116"/>
      <c r="S58" s="116"/>
      <c r="T58" s="105"/>
      <c r="U58" s="114"/>
      <c r="V58" s="115"/>
      <c r="W58" s="116"/>
      <c r="X58" s="116"/>
      <c r="Y58" s="105"/>
      <c r="Z58" s="114"/>
      <c r="AA58" s="115"/>
      <c r="AB58" s="116"/>
      <c r="AC58" s="116"/>
      <c r="AD58" s="105"/>
      <c r="AE58" s="114"/>
      <c r="AF58" s="115"/>
      <c r="AG58" s="116"/>
      <c r="AH58" s="116"/>
      <c r="AI58" s="105"/>
      <c r="AJ58" s="114"/>
      <c r="AK58" s="115"/>
      <c r="AL58" s="116"/>
      <c r="AM58" s="116"/>
      <c r="AN58" s="105"/>
      <c r="AO58" s="114"/>
      <c r="AP58" s="115"/>
      <c r="AQ58" s="116"/>
      <c r="AR58" s="116"/>
      <c r="AS58" s="105"/>
      <c r="AT58" s="114"/>
      <c r="AU58" s="115"/>
      <c r="AV58" s="116"/>
      <c r="AW58" s="116"/>
      <c r="AX58" s="105"/>
      <c r="AY58" s="114"/>
      <c r="AZ58" s="115"/>
      <c r="BA58" s="116"/>
      <c r="BB58" s="116"/>
      <c r="BC58" s="105"/>
      <c r="BD58" s="114"/>
      <c r="BE58" s="115"/>
      <c r="BF58" s="116"/>
      <c r="BG58" s="116"/>
      <c r="BH58" s="105"/>
      <c r="BI58" s="114"/>
      <c r="BJ58" s="115"/>
      <c r="BK58" s="116"/>
      <c r="BL58" s="116"/>
      <c r="BM58" s="105"/>
      <c r="BN58" s="114"/>
      <c r="BO58" s="115"/>
      <c r="BP58" s="116"/>
      <c r="BQ58" s="116"/>
      <c r="BR58" s="105"/>
      <c r="BS58" s="114">
        <f>月報!R60</f>
        <v>0</v>
      </c>
      <c r="BT58" s="115">
        <f>月報!S60</f>
        <v>0</v>
      </c>
      <c r="BU58" s="116">
        <f>月報!T60</f>
        <v>0</v>
      </c>
      <c r="BV58" s="116">
        <f>月報!U60</f>
        <v>0</v>
      </c>
      <c r="BW58" s="105">
        <f>月報!V60</f>
        <v>0</v>
      </c>
    </row>
    <row r="59" spans="2:75" x14ac:dyDescent="0.45">
      <c r="B59" s="129"/>
      <c r="C59" s="132"/>
      <c r="D59" s="133"/>
      <c r="E59" s="137"/>
      <c r="F59" s="138"/>
      <c r="G59" s="138"/>
      <c r="H59" s="138"/>
      <c r="I59" s="139"/>
      <c r="J59" s="141"/>
      <c r="K59" s="114"/>
      <c r="L59" s="115"/>
      <c r="M59" s="116"/>
      <c r="N59" s="116"/>
      <c r="O59" s="105"/>
      <c r="P59" s="114"/>
      <c r="Q59" s="115"/>
      <c r="R59" s="116"/>
      <c r="S59" s="116"/>
      <c r="T59" s="105"/>
      <c r="U59" s="114"/>
      <c r="V59" s="115"/>
      <c r="W59" s="116"/>
      <c r="X59" s="116"/>
      <c r="Y59" s="105"/>
      <c r="Z59" s="114"/>
      <c r="AA59" s="115"/>
      <c r="AB59" s="116"/>
      <c r="AC59" s="116"/>
      <c r="AD59" s="105"/>
      <c r="AE59" s="114"/>
      <c r="AF59" s="115"/>
      <c r="AG59" s="116"/>
      <c r="AH59" s="116"/>
      <c r="AI59" s="105"/>
      <c r="AJ59" s="114"/>
      <c r="AK59" s="115"/>
      <c r="AL59" s="116"/>
      <c r="AM59" s="116"/>
      <c r="AN59" s="105"/>
      <c r="AO59" s="114"/>
      <c r="AP59" s="115"/>
      <c r="AQ59" s="116"/>
      <c r="AR59" s="116"/>
      <c r="AS59" s="105"/>
      <c r="AT59" s="114"/>
      <c r="AU59" s="115"/>
      <c r="AV59" s="116"/>
      <c r="AW59" s="116"/>
      <c r="AX59" s="105"/>
      <c r="AY59" s="114"/>
      <c r="AZ59" s="115"/>
      <c r="BA59" s="116"/>
      <c r="BB59" s="116"/>
      <c r="BC59" s="105"/>
      <c r="BD59" s="114"/>
      <c r="BE59" s="115"/>
      <c r="BF59" s="116"/>
      <c r="BG59" s="116"/>
      <c r="BH59" s="105"/>
      <c r="BI59" s="114"/>
      <c r="BJ59" s="115"/>
      <c r="BK59" s="116"/>
      <c r="BL59" s="116"/>
      <c r="BM59" s="105"/>
      <c r="BN59" s="114"/>
      <c r="BO59" s="115"/>
      <c r="BP59" s="116"/>
      <c r="BQ59" s="116"/>
      <c r="BR59" s="105"/>
      <c r="BS59" s="114"/>
      <c r="BT59" s="115"/>
      <c r="BU59" s="116"/>
      <c r="BV59" s="116"/>
      <c r="BW59" s="105"/>
    </row>
    <row r="60" spans="2:75" x14ac:dyDescent="0.45">
      <c r="B60" s="129"/>
      <c r="C60" s="132"/>
      <c r="D60" s="133"/>
      <c r="E60" s="122" t="s">
        <v>76</v>
      </c>
      <c r="F60" s="123"/>
      <c r="G60" s="123"/>
      <c r="H60" s="123"/>
      <c r="I60" s="124"/>
      <c r="J60" s="35"/>
      <c r="K60" s="114"/>
      <c r="L60" s="115"/>
      <c r="M60" s="116"/>
      <c r="N60" s="116"/>
      <c r="O60" s="105"/>
      <c r="P60" s="114"/>
      <c r="Q60" s="115"/>
      <c r="R60" s="116"/>
      <c r="S60" s="116"/>
      <c r="T60" s="105"/>
      <c r="U60" s="114"/>
      <c r="V60" s="115"/>
      <c r="W60" s="116"/>
      <c r="X60" s="116"/>
      <c r="Y60" s="105"/>
      <c r="Z60" s="114"/>
      <c r="AA60" s="115"/>
      <c r="AB60" s="116"/>
      <c r="AC60" s="116"/>
      <c r="AD60" s="105"/>
      <c r="AE60" s="114"/>
      <c r="AF60" s="115"/>
      <c r="AG60" s="116"/>
      <c r="AH60" s="116"/>
      <c r="AI60" s="105"/>
      <c r="AJ60" s="114"/>
      <c r="AK60" s="115"/>
      <c r="AL60" s="116"/>
      <c r="AM60" s="116"/>
      <c r="AN60" s="105"/>
      <c r="AO60" s="114"/>
      <c r="AP60" s="115"/>
      <c r="AQ60" s="116"/>
      <c r="AR60" s="116"/>
      <c r="AS60" s="105"/>
      <c r="AT60" s="114"/>
      <c r="AU60" s="115"/>
      <c r="AV60" s="116"/>
      <c r="AW60" s="116"/>
      <c r="AX60" s="105"/>
      <c r="AY60" s="114"/>
      <c r="AZ60" s="115"/>
      <c r="BA60" s="116"/>
      <c r="BB60" s="116"/>
      <c r="BC60" s="105"/>
      <c r="BD60" s="114"/>
      <c r="BE60" s="115"/>
      <c r="BF60" s="116"/>
      <c r="BG60" s="116"/>
      <c r="BH60" s="105"/>
      <c r="BI60" s="114"/>
      <c r="BJ60" s="115"/>
      <c r="BK60" s="116"/>
      <c r="BL60" s="116"/>
      <c r="BM60" s="105"/>
      <c r="BN60" s="114"/>
      <c r="BO60" s="115"/>
      <c r="BP60" s="116"/>
      <c r="BQ60" s="116"/>
      <c r="BR60" s="105"/>
      <c r="BS60" s="114">
        <f>月報!R62</f>
        <v>0</v>
      </c>
      <c r="BT60" s="115">
        <f>月報!S62</f>
        <v>0</v>
      </c>
      <c r="BU60" s="116">
        <f>月報!T62</f>
        <v>0</v>
      </c>
      <c r="BV60" s="116">
        <f>月報!U62</f>
        <v>0</v>
      </c>
      <c r="BW60" s="105">
        <f>月報!V62</f>
        <v>0</v>
      </c>
    </row>
    <row r="61" spans="2:75" x14ac:dyDescent="0.45">
      <c r="B61" s="129"/>
      <c r="C61" s="120"/>
      <c r="D61" s="121"/>
      <c r="E61" s="125"/>
      <c r="F61" s="126"/>
      <c r="G61" s="126"/>
      <c r="H61" s="126"/>
      <c r="I61" s="127"/>
      <c r="J61" s="36"/>
      <c r="K61" s="114"/>
      <c r="L61" s="115"/>
      <c r="M61" s="116"/>
      <c r="N61" s="116"/>
      <c r="O61" s="105"/>
      <c r="P61" s="114"/>
      <c r="Q61" s="115"/>
      <c r="R61" s="116"/>
      <c r="S61" s="116"/>
      <c r="T61" s="105"/>
      <c r="U61" s="114"/>
      <c r="V61" s="115"/>
      <c r="W61" s="116"/>
      <c r="X61" s="116"/>
      <c r="Y61" s="105"/>
      <c r="Z61" s="114"/>
      <c r="AA61" s="115"/>
      <c r="AB61" s="116"/>
      <c r="AC61" s="116"/>
      <c r="AD61" s="105"/>
      <c r="AE61" s="114"/>
      <c r="AF61" s="115"/>
      <c r="AG61" s="116"/>
      <c r="AH61" s="116"/>
      <c r="AI61" s="105"/>
      <c r="AJ61" s="114"/>
      <c r="AK61" s="115"/>
      <c r="AL61" s="116"/>
      <c r="AM61" s="116"/>
      <c r="AN61" s="105"/>
      <c r="AO61" s="114"/>
      <c r="AP61" s="115"/>
      <c r="AQ61" s="116"/>
      <c r="AR61" s="116"/>
      <c r="AS61" s="105"/>
      <c r="AT61" s="114"/>
      <c r="AU61" s="115"/>
      <c r="AV61" s="116"/>
      <c r="AW61" s="116"/>
      <c r="AX61" s="105"/>
      <c r="AY61" s="114"/>
      <c r="AZ61" s="115"/>
      <c r="BA61" s="116"/>
      <c r="BB61" s="116"/>
      <c r="BC61" s="105"/>
      <c r="BD61" s="114"/>
      <c r="BE61" s="115"/>
      <c r="BF61" s="116"/>
      <c r="BG61" s="116"/>
      <c r="BH61" s="105"/>
      <c r="BI61" s="114"/>
      <c r="BJ61" s="115"/>
      <c r="BK61" s="116"/>
      <c r="BL61" s="116"/>
      <c r="BM61" s="105"/>
      <c r="BN61" s="114"/>
      <c r="BO61" s="115"/>
      <c r="BP61" s="116"/>
      <c r="BQ61" s="116"/>
      <c r="BR61" s="105"/>
      <c r="BS61" s="114"/>
      <c r="BT61" s="115"/>
      <c r="BU61" s="116"/>
      <c r="BV61" s="116"/>
      <c r="BW61" s="105"/>
    </row>
    <row r="62" spans="2:75" x14ac:dyDescent="0.45">
      <c r="B62" s="129"/>
      <c r="C62" s="118" t="s">
        <v>77</v>
      </c>
      <c r="D62" s="119"/>
      <c r="E62" s="122" t="s">
        <v>78</v>
      </c>
      <c r="F62" s="123"/>
      <c r="G62" s="123"/>
      <c r="H62" s="123"/>
      <c r="I62" s="124"/>
      <c r="J62" s="35"/>
      <c r="K62" s="114"/>
      <c r="L62" s="115"/>
      <c r="M62" s="116"/>
      <c r="N62" s="116"/>
      <c r="O62" s="105"/>
      <c r="P62" s="114"/>
      <c r="Q62" s="115"/>
      <c r="R62" s="116"/>
      <c r="S62" s="116"/>
      <c r="T62" s="105"/>
      <c r="U62" s="114"/>
      <c r="V62" s="115"/>
      <c r="W62" s="116"/>
      <c r="X62" s="116"/>
      <c r="Y62" s="105"/>
      <c r="Z62" s="114"/>
      <c r="AA62" s="115"/>
      <c r="AB62" s="116"/>
      <c r="AC62" s="116"/>
      <c r="AD62" s="105"/>
      <c r="AE62" s="114"/>
      <c r="AF62" s="115"/>
      <c r="AG62" s="116"/>
      <c r="AH62" s="116"/>
      <c r="AI62" s="105"/>
      <c r="AJ62" s="114"/>
      <c r="AK62" s="115"/>
      <c r="AL62" s="116"/>
      <c r="AM62" s="116"/>
      <c r="AN62" s="105"/>
      <c r="AO62" s="114"/>
      <c r="AP62" s="115"/>
      <c r="AQ62" s="116"/>
      <c r="AR62" s="116"/>
      <c r="AS62" s="105"/>
      <c r="AT62" s="114"/>
      <c r="AU62" s="115"/>
      <c r="AV62" s="116"/>
      <c r="AW62" s="116"/>
      <c r="AX62" s="105"/>
      <c r="AY62" s="114"/>
      <c r="AZ62" s="115"/>
      <c r="BA62" s="116"/>
      <c r="BB62" s="116"/>
      <c r="BC62" s="105"/>
      <c r="BD62" s="114"/>
      <c r="BE62" s="115"/>
      <c r="BF62" s="116"/>
      <c r="BG62" s="116"/>
      <c r="BH62" s="105"/>
      <c r="BI62" s="114"/>
      <c r="BJ62" s="115"/>
      <c r="BK62" s="116"/>
      <c r="BL62" s="116"/>
      <c r="BM62" s="105"/>
      <c r="BN62" s="114"/>
      <c r="BO62" s="115"/>
      <c r="BP62" s="116"/>
      <c r="BQ62" s="116"/>
      <c r="BR62" s="105"/>
      <c r="BS62" s="114">
        <f>月報!R64</f>
        <v>0</v>
      </c>
      <c r="BT62" s="115">
        <f>月報!S64</f>
        <v>0</v>
      </c>
      <c r="BU62" s="116">
        <f>月報!T64</f>
        <v>0</v>
      </c>
      <c r="BV62" s="116">
        <f>月報!U64</f>
        <v>0</v>
      </c>
      <c r="BW62" s="105">
        <f>月報!V64</f>
        <v>0</v>
      </c>
    </row>
    <row r="63" spans="2:75" x14ac:dyDescent="0.45">
      <c r="B63" s="129"/>
      <c r="C63" s="120"/>
      <c r="D63" s="121"/>
      <c r="E63" s="125"/>
      <c r="F63" s="126"/>
      <c r="G63" s="126"/>
      <c r="H63" s="126"/>
      <c r="I63" s="127"/>
      <c r="J63" s="36"/>
      <c r="K63" s="114"/>
      <c r="L63" s="115"/>
      <c r="M63" s="116"/>
      <c r="N63" s="116"/>
      <c r="O63" s="105"/>
      <c r="P63" s="114"/>
      <c r="Q63" s="115"/>
      <c r="R63" s="116"/>
      <c r="S63" s="116"/>
      <c r="T63" s="105"/>
      <c r="U63" s="114"/>
      <c r="V63" s="115"/>
      <c r="W63" s="116"/>
      <c r="X63" s="116"/>
      <c r="Y63" s="105"/>
      <c r="Z63" s="114"/>
      <c r="AA63" s="115"/>
      <c r="AB63" s="116"/>
      <c r="AC63" s="116"/>
      <c r="AD63" s="105"/>
      <c r="AE63" s="114"/>
      <c r="AF63" s="115"/>
      <c r="AG63" s="116"/>
      <c r="AH63" s="116"/>
      <c r="AI63" s="105"/>
      <c r="AJ63" s="114"/>
      <c r="AK63" s="115"/>
      <c r="AL63" s="116"/>
      <c r="AM63" s="116"/>
      <c r="AN63" s="105"/>
      <c r="AO63" s="114"/>
      <c r="AP63" s="115"/>
      <c r="AQ63" s="116"/>
      <c r="AR63" s="116"/>
      <c r="AS63" s="105"/>
      <c r="AT63" s="114"/>
      <c r="AU63" s="115"/>
      <c r="AV63" s="116"/>
      <c r="AW63" s="116"/>
      <c r="AX63" s="105"/>
      <c r="AY63" s="114"/>
      <c r="AZ63" s="115"/>
      <c r="BA63" s="116"/>
      <c r="BB63" s="116"/>
      <c r="BC63" s="105"/>
      <c r="BD63" s="114"/>
      <c r="BE63" s="115"/>
      <c r="BF63" s="116"/>
      <c r="BG63" s="116"/>
      <c r="BH63" s="105"/>
      <c r="BI63" s="114"/>
      <c r="BJ63" s="115"/>
      <c r="BK63" s="116"/>
      <c r="BL63" s="116"/>
      <c r="BM63" s="105"/>
      <c r="BN63" s="114"/>
      <c r="BO63" s="115"/>
      <c r="BP63" s="116"/>
      <c r="BQ63" s="116"/>
      <c r="BR63" s="105"/>
      <c r="BS63" s="114"/>
      <c r="BT63" s="115"/>
      <c r="BU63" s="116"/>
      <c r="BV63" s="116"/>
      <c r="BW63" s="105"/>
    </row>
    <row r="64" spans="2:75" x14ac:dyDescent="0.45">
      <c r="B64" s="130"/>
      <c r="C64" s="106" t="s">
        <v>61</v>
      </c>
      <c r="D64" s="106"/>
      <c r="E64" s="106"/>
      <c r="F64" s="108"/>
      <c r="G64" s="108"/>
      <c r="H64" s="108"/>
      <c r="I64" s="109"/>
      <c r="J64" s="112" t="s">
        <v>79</v>
      </c>
      <c r="K64" s="114"/>
      <c r="L64" s="115"/>
      <c r="M64" s="116"/>
      <c r="N64" s="116"/>
      <c r="O64" s="105"/>
      <c r="P64" s="114"/>
      <c r="Q64" s="115"/>
      <c r="R64" s="116"/>
      <c r="S64" s="116"/>
      <c r="T64" s="105"/>
      <c r="U64" s="114"/>
      <c r="V64" s="115"/>
      <c r="W64" s="116"/>
      <c r="X64" s="116"/>
      <c r="Y64" s="105"/>
      <c r="Z64" s="114"/>
      <c r="AA64" s="115"/>
      <c r="AB64" s="116"/>
      <c r="AC64" s="116"/>
      <c r="AD64" s="105"/>
      <c r="AE64" s="114"/>
      <c r="AF64" s="115"/>
      <c r="AG64" s="116"/>
      <c r="AH64" s="116"/>
      <c r="AI64" s="105"/>
      <c r="AJ64" s="114"/>
      <c r="AK64" s="115"/>
      <c r="AL64" s="116"/>
      <c r="AM64" s="116"/>
      <c r="AN64" s="105"/>
      <c r="AO64" s="114"/>
      <c r="AP64" s="115"/>
      <c r="AQ64" s="116"/>
      <c r="AR64" s="116"/>
      <c r="AS64" s="105"/>
      <c r="AT64" s="114"/>
      <c r="AU64" s="115"/>
      <c r="AV64" s="116"/>
      <c r="AW64" s="116"/>
      <c r="AX64" s="105"/>
      <c r="AY64" s="114"/>
      <c r="AZ64" s="115"/>
      <c r="BA64" s="116"/>
      <c r="BB64" s="116"/>
      <c r="BC64" s="105"/>
      <c r="BD64" s="114"/>
      <c r="BE64" s="115"/>
      <c r="BF64" s="116"/>
      <c r="BG64" s="116"/>
      <c r="BH64" s="105"/>
      <c r="BI64" s="114"/>
      <c r="BJ64" s="115"/>
      <c r="BK64" s="116"/>
      <c r="BL64" s="116"/>
      <c r="BM64" s="105"/>
      <c r="BN64" s="114"/>
      <c r="BO64" s="115"/>
      <c r="BP64" s="116"/>
      <c r="BQ64" s="116"/>
      <c r="BR64" s="105"/>
      <c r="BS64" s="114">
        <f>月報!R66</f>
        <v>0</v>
      </c>
      <c r="BT64" s="115">
        <f>月報!S66</f>
        <v>0</v>
      </c>
      <c r="BU64" s="116">
        <f>月報!T66</f>
        <v>0</v>
      </c>
      <c r="BV64" s="116">
        <f>月報!U66</f>
        <v>0</v>
      </c>
      <c r="BW64" s="105">
        <f>月報!V66</f>
        <v>0</v>
      </c>
    </row>
    <row r="65" spans="2:75" ht="15.6" thickBot="1" x14ac:dyDescent="0.5">
      <c r="B65" s="131"/>
      <c r="C65" s="107"/>
      <c r="D65" s="107"/>
      <c r="E65" s="107"/>
      <c r="F65" s="110"/>
      <c r="G65" s="110"/>
      <c r="H65" s="110"/>
      <c r="I65" s="111"/>
      <c r="J65" s="113"/>
      <c r="K65" s="100"/>
      <c r="L65" s="102"/>
      <c r="M65" s="104"/>
      <c r="N65" s="104"/>
      <c r="O65" s="117"/>
      <c r="P65" s="100"/>
      <c r="Q65" s="102"/>
      <c r="R65" s="104"/>
      <c r="S65" s="104"/>
      <c r="T65" s="117"/>
      <c r="U65" s="100"/>
      <c r="V65" s="102"/>
      <c r="W65" s="104"/>
      <c r="X65" s="104"/>
      <c r="Y65" s="117"/>
      <c r="Z65" s="100"/>
      <c r="AA65" s="102"/>
      <c r="AB65" s="104"/>
      <c r="AC65" s="104"/>
      <c r="AD65" s="117"/>
      <c r="AE65" s="100"/>
      <c r="AF65" s="102"/>
      <c r="AG65" s="104"/>
      <c r="AH65" s="104"/>
      <c r="AI65" s="117"/>
      <c r="AJ65" s="100"/>
      <c r="AK65" s="102"/>
      <c r="AL65" s="104"/>
      <c r="AM65" s="104"/>
      <c r="AN65" s="117"/>
      <c r="AO65" s="100"/>
      <c r="AP65" s="102"/>
      <c r="AQ65" s="104"/>
      <c r="AR65" s="104"/>
      <c r="AS65" s="117"/>
      <c r="AT65" s="100"/>
      <c r="AU65" s="102"/>
      <c r="AV65" s="104"/>
      <c r="AW65" s="104"/>
      <c r="AX65" s="117"/>
      <c r="AY65" s="100"/>
      <c r="AZ65" s="102"/>
      <c r="BA65" s="104"/>
      <c r="BB65" s="104"/>
      <c r="BC65" s="117"/>
      <c r="BD65" s="100"/>
      <c r="BE65" s="102"/>
      <c r="BF65" s="104"/>
      <c r="BG65" s="104"/>
      <c r="BH65" s="117"/>
      <c r="BI65" s="100"/>
      <c r="BJ65" s="102"/>
      <c r="BK65" s="104"/>
      <c r="BL65" s="104"/>
      <c r="BM65" s="117"/>
      <c r="BN65" s="100"/>
      <c r="BO65" s="102"/>
      <c r="BP65" s="104"/>
      <c r="BQ65" s="104"/>
      <c r="BR65" s="117"/>
      <c r="BS65" s="100"/>
      <c r="BT65" s="102"/>
      <c r="BU65" s="104"/>
      <c r="BV65" s="104"/>
      <c r="BW65" s="117"/>
    </row>
    <row r="66" spans="2:75" x14ac:dyDescent="0.45">
      <c r="B66" s="92" t="s">
        <v>26</v>
      </c>
      <c r="C66" s="94" t="s">
        <v>80</v>
      </c>
      <c r="D66" s="95"/>
      <c r="E66" s="95"/>
      <c r="F66" s="96"/>
      <c r="G66" s="96"/>
      <c r="H66" s="96"/>
      <c r="I66" s="96"/>
      <c r="J66" s="52"/>
      <c r="K66" s="99"/>
      <c r="L66" s="101"/>
      <c r="M66" s="103"/>
      <c r="N66" s="103"/>
      <c r="O66" s="144"/>
      <c r="P66" s="99"/>
      <c r="Q66" s="101"/>
      <c r="R66" s="103"/>
      <c r="S66" s="103"/>
      <c r="T66" s="144"/>
      <c r="U66" s="99"/>
      <c r="V66" s="101"/>
      <c r="W66" s="103"/>
      <c r="X66" s="103"/>
      <c r="Y66" s="144"/>
      <c r="Z66" s="99"/>
      <c r="AA66" s="101"/>
      <c r="AB66" s="103"/>
      <c r="AC66" s="103"/>
      <c r="AD66" s="144"/>
      <c r="AE66" s="99"/>
      <c r="AF66" s="101"/>
      <c r="AG66" s="103"/>
      <c r="AH66" s="103"/>
      <c r="AI66" s="144"/>
      <c r="AJ66" s="99"/>
      <c r="AK66" s="101"/>
      <c r="AL66" s="103"/>
      <c r="AM66" s="103"/>
      <c r="AN66" s="144"/>
      <c r="AO66" s="99"/>
      <c r="AP66" s="101"/>
      <c r="AQ66" s="103"/>
      <c r="AR66" s="103"/>
      <c r="AS66" s="144"/>
      <c r="AT66" s="99"/>
      <c r="AU66" s="101"/>
      <c r="AV66" s="103"/>
      <c r="AW66" s="103"/>
      <c r="AX66" s="144"/>
      <c r="AY66" s="99"/>
      <c r="AZ66" s="101"/>
      <c r="BA66" s="103"/>
      <c r="BB66" s="103"/>
      <c r="BC66" s="144"/>
      <c r="BD66" s="99"/>
      <c r="BE66" s="101"/>
      <c r="BF66" s="103"/>
      <c r="BG66" s="103"/>
      <c r="BH66" s="144"/>
      <c r="BI66" s="99"/>
      <c r="BJ66" s="101"/>
      <c r="BK66" s="103"/>
      <c r="BL66" s="103"/>
      <c r="BM66" s="144"/>
      <c r="BN66" s="99"/>
      <c r="BO66" s="101"/>
      <c r="BP66" s="103"/>
      <c r="BQ66" s="103"/>
      <c r="BR66" s="144"/>
      <c r="BS66" s="99">
        <f>月報!R68</f>
        <v>0</v>
      </c>
      <c r="BT66" s="101">
        <f>月報!S68</f>
        <v>0</v>
      </c>
      <c r="BU66" s="103">
        <f>月報!T68</f>
        <v>0</v>
      </c>
      <c r="BV66" s="103">
        <f>月報!U68</f>
        <v>0</v>
      </c>
      <c r="BW66" s="144">
        <f>月報!V68</f>
        <v>0</v>
      </c>
    </row>
    <row r="67" spans="2:75" ht="15.6" thickBot="1" x14ac:dyDescent="0.5">
      <c r="B67" s="93"/>
      <c r="C67" s="97"/>
      <c r="D67" s="98"/>
      <c r="E67" s="98"/>
      <c r="F67" s="98"/>
      <c r="G67" s="98"/>
      <c r="H67" s="98"/>
      <c r="I67" s="98"/>
      <c r="J67" s="34"/>
      <c r="K67" s="100"/>
      <c r="L67" s="102"/>
      <c r="M67" s="104"/>
      <c r="N67" s="104"/>
      <c r="O67" s="117"/>
      <c r="P67" s="100"/>
      <c r="Q67" s="102"/>
      <c r="R67" s="104"/>
      <c r="S67" s="104"/>
      <c r="T67" s="117"/>
      <c r="U67" s="100"/>
      <c r="V67" s="102"/>
      <c r="W67" s="104"/>
      <c r="X67" s="104"/>
      <c r="Y67" s="117"/>
      <c r="Z67" s="100"/>
      <c r="AA67" s="102"/>
      <c r="AB67" s="104"/>
      <c r="AC67" s="104"/>
      <c r="AD67" s="117"/>
      <c r="AE67" s="100"/>
      <c r="AF67" s="102"/>
      <c r="AG67" s="104"/>
      <c r="AH67" s="104"/>
      <c r="AI67" s="117"/>
      <c r="AJ67" s="100"/>
      <c r="AK67" s="102"/>
      <c r="AL67" s="104"/>
      <c r="AM67" s="104"/>
      <c r="AN67" s="117"/>
      <c r="AO67" s="100"/>
      <c r="AP67" s="102"/>
      <c r="AQ67" s="104"/>
      <c r="AR67" s="104"/>
      <c r="AS67" s="117"/>
      <c r="AT67" s="100"/>
      <c r="AU67" s="102"/>
      <c r="AV67" s="104"/>
      <c r="AW67" s="104"/>
      <c r="AX67" s="117"/>
      <c r="AY67" s="100"/>
      <c r="AZ67" s="102"/>
      <c r="BA67" s="104"/>
      <c r="BB67" s="104"/>
      <c r="BC67" s="117"/>
      <c r="BD67" s="100"/>
      <c r="BE67" s="102"/>
      <c r="BF67" s="104"/>
      <c r="BG67" s="104"/>
      <c r="BH67" s="117"/>
      <c r="BI67" s="100"/>
      <c r="BJ67" s="102"/>
      <c r="BK67" s="104"/>
      <c r="BL67" s="104"/>
      <c r="BM67" s="117"/>
      <c r="BN67" s="100"/>
      <c r="BO67" s="102"/>
      <c r="BP67" s="104"/>
      <c r="BQ67" s="104"/>
      <c r="BR67" s="117"/>
      <c r="BS67" s="100"/>
      <c r="BT67" s="102"/>
      <c r="BU67" s="104"/>
      <c r="BV67" s="104"/>
      <c r="BW67" s="117"/>
    </row>
  </sheetData>
  <mergeCells count="1897">
    <mergeCell ref="BS66:BS67"/>
    <mergeCell ref="BT66:BT67"/>
    <mergeCell ref="BU66:BU67"/>
    <mergeCell ref="BV66:BV67"/>
    <mergeCell ref="BW66:BW67"/>
    <mergeCell ref="BM66:BM67"/>
    <mergeCell ref="BN66:BN67"/>
    <mergeCell ref="BO66:BO67"/>
    <mergeCell ref="BP66:BP67"/>
    <mergeCell ref="BQ66:BQ67"/>
    <mergeCell ref="BR66:BR67"/>
    <mergeCell ref="BG66:BG67"/>
    <mergeCell ref="BH66:BH67"/>
    <mergeCell ref="BI66:BI67"/>
    <mergeCell ref="BJ66:BJ67"/>
    <mergeCell ref="BK66:BK67"/>
    <mergeCell ref="BL66:BL67"/>
    <mergeCell ref="BA66:BA67"/>
    <mergeCell ref="BB66:BB67"/>
    <mergeCell ref="BC66:BC67"/>
    <mergeCell ref="BD66:BD67"/>
    <mergeCell ref="BE66:BE67"/>
    <mergeCell ref="BF66:BF67"/>
    <mergeCell ref="AU66:AU67"/>
    <mergeCell ref="AV66:AV67"/>
    <mergeCell ref="AW66:AW67"/>
    <mergeCell ref="AX66:AX67"/>
    <mergeCell ref="AY66:AY67"/>
    <mergeCell ref="AZ66:AZ67"/>
    <mergeCell ref="AO66:AO67"/>
    <mergeCell ref="AP66:AP67"/>
    <mergeCell ref="AQ66:AQ67"/>
    <mergeCell ref="AR66:AR67"/>
    <mergeCell ref="AS66:AS67"/>
    <mergeCell ref="AT66:AT67"/>
    <mergeCell ref="AI66:AI67"/>
    <mergeCell ref="AJ66:AJ67"/>
    <mergeCell ref="AK66:AK67"/>
    <mergeCell ref="AL66:AL67"/>
    <mergeCell ref="AM66:AM67"/>
    <mergeCell ref="AN66:AN67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BV64:BV65"/>
    <mergeCell ref="BW64:BW65"/>
    <mergeCell ref="B66:B67"/>
    <mergeCell ref="C66:I67"/>
    <mergeCell ref="K66:K67"/>
    <mergeCell ref="L66:L67"/>
    <mergeCell ref="M66:M67"/>
    <mergeCell ref="N66:N67"/>
    <mergeCell ref="O66:O67"/>
    <mergeCell ref="P66:P67"/>
    <mergeCell ref="BP64:BP65"/>
    <mergeCell ref="BQ64:BQ65"/>
    <mergeCell ref="BR64:BR65"/>
    <mergeCell ref="BS64:BS65"/>
    <mergeCell ref="BT64:BT65"/>
    <mergeCell ref="BU64:BU65"/>
    <mergeCell ref="BJ64:BJ65"/>
    <mergeCell ref="BK64:BK65"/>
    <mergeCell ref="BL64:BL65"/>
    <mergeCell ref="BM64:BM65"/>
    <mergeCell ref="BN64:BN65"/>
    <mergeCell ref="BO64:BO65"/>
    <mergeCell ref="BD64:BD65"/>
    <mergeCell ref="BE64:BE65"/>
    <mergeCell ref="BF64:BF65"/>
    <mergeCell ref="BG64:BG65"/>
    <mergeCell ref="BH64:BH65"/>
    <mergeCell ref="BI64:BI65"/>
    <mergeCell ref="AX64:AX65"/>
    <mergeCell ref="AY64:AY65"/>
    <mergeCell ref="AZ64:AZ65"/>
    <mergeCell ref="BA64:BA65"/>
    <mergeCell ref="BB64:BB65"/>
    <mergeCell ref="BC64:BC65"/>
    <mergeCell ref="AR64:AR65"/>
    <mergeCell ref="AS64:AS65"/>
    <mergeCell ref="AT64:AT65"/>
    <mergeCell ref="AU64:AU65"/>
    <mergeCell ref="AV64:AV65"/>
    <mergeCell ref="AW64:AW65"/>
    <mergeCell ref="AL64:AL65"/>
    <mergeCell ref="AM64:AM65"/>
    <mergeCell ref="AN64:AN65"/>
    <mergeCell ref="AO64:AO65"/>
    <mergeCell ref="AP64:AP65"/>
    <mergeCell ref="AQ64:AQ65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U64:U65"/>
    <mergeCell ref="V64:V65"/>
    <mergeCell ref="W64:W65"/>
    <mergeCell ref="X64:X65"/>
    <mergeCell ref="Y64:Y65"/>
    <mergeCell ref="N64:N65"/>
    <mergeCell ref="O64:O65"/>
    <mergeCell ref="P64:P65"/>
    <mergeCell ref="Q64:Q65"/>
    <mergeCell ref="R64:R65"/>
    <mergeCell ref="S64:S65"/>
    <mergeCell ref="C64:E65"/>
    <mergeCell ref="F64:I65"/>
    <mergeCell ref="J64:J65"/>
    <mergeCell ref="K64:K65"/>
    <mergeCell ref="L64:L65"/>
    <mergeCell ref="M64:M65"/>
    <mergeCell ref="BR62:BR63"/>
    <mergeCell ref="BS62:BS63"/>
    <mergeCell ref="BT62:BT63"/>
    <mergeCell ref="BU62:BU63"/>
    <mergeCell ref="BV62:BV63"/>
    <mergeCell ref="AT62:AT63"/>
    <mergeCell ref="AU62:AU63"/>
    <mergeCell ref="AV62:AV63"/>
    <mergeCell ref="AW62:AW63"/>
    <mergeCell ref="AX62:AX63"/>
    <mergeCell ref="AY62:AY63"/>
    <mergeCell ref="AN62:AN63"/>
    <mergeCell ref="AO62:AO63"/>
    <mergeCell ref="AP62:AP63"/>
    <mergeCell ref="AQ62:AQ63"/>
    <mergeCell ref="AR62:AR63"/>
    <mergeCell ref="AS62:AS63"/>
    <mergeCell ref="AH62:AH63"/>
    <mergeCell ref="AI62:AI63"/>
    <mergeCell ref="AJ62:AJ63"/>
    <mergeCell ref="BW62:BW63"/>
    <mergeCell ref="BL62:BL63"/>
    <mergeCell ref="BM62:BM63"/>
    <mergeCell ref="BN62:BN63"/>
    <mergeCell ref="BO62:BO63"/>
    <mergeCell ref="BP62:BP63"/>
    <mergeCell ref="BQ62:BQ63"/>
    <mergeCell ref="BF62:BF63"/>
    <mergeCell ref="BG62:BG63"/>
    <mergeCell ref="BH62:BH63"/>
    <mergeCell ref="BI62:BI63"/>
    <mergeCell ref="BJ62:BJ63"/>
    <mergeCell ref="BK62:BK63"/>
    <mergeCell ref="AZ62:AZ63"/>
    <mergeCell ref="BA62:BA63"/>
    <mergeCell ref="BB62:BB63"/>
    <mergeCell ref="BC62:BC63"/>
    <mergeCell ref="BD62:BD63"/>
    <mergeCell ref="BE62:BE63"/>
    <mergeCell ref="AK62:AK63"/>
    <mergeCell ref="AL62:AL63"/>
    <mergeCell ref="AM62:AM63"/>
    <mergeCell ref="AB62:AB63"/>
    <mergeCell ref="AC62:AC63"/>
    <mergeCell ref="AD62:AD63"/>
    <mergeCell ref="AE62:AE63"/>
    <mergeCell ref="AF62:AF63"/>
    <mergeCell ref="AG62:AG63"/>
    <mergeCell ref="V62:V63"/>
    <mergeCell ref="W62:W63"/>
    <mergeCell ref="X62:X63"/>
    <mergeCell ref="Y62:Y63"/>
    <mergeCell ref="Z62:Z63"/>
    <mergeCell ref="AA62:AA63"/>
    <mergeCell ref="P62:P63"/>
    <mergeCell ref="Q62:Q63"/>
    <mergeCell ref="R62:R63"/>
    <mergeCell ref="S62:S63"/>
    <mergeCell ref="T62:T63"/>
    <mergeCell ref="U62:U63"/>
    <mergeCell ref="BU60:BU61"/>
    <mergeCell ref="BV60:BV61"/>
    <mergeCell ref="BW60:BW61"/>
    <mergeCell ref="C62:D63"/>
    <mergeCell ref="E62:I63"/>
    <mergeCell ref="K62:K63"/>
    <mergeCell ref="L62:L63"/>
    <mergeCell ref="M62:M63"/>
    <mergeCell ref="N62:N63"/>
    <mergeCell ref="O62:O63"/>
    <mergeCell ref="BO60:BO61"/>
    <mergeCell ref="BP60:BP61"/>
    <mergeCell ref="BQ60:BQ61"/>
    <mergeCell ref="BR60:BR61"/>
    <mergeCell ref="BS60:BS61"/>
    <mergeCell ref="BT60:BT61"/>
    <mergeCell ref="BI60:BI61"/>
    <mergeCell ref="BJ60:BJ61"/>
    <mergeCell ref="BK60:BK61"/>
    <mergeCell ref="BL60:BL61"/>
    <mergeCell ref="BM60:BM61"/>
    <mergeCell ref="BN60:BN61"/>
    <mergeCell ref="BC60:BC61"/>
    <mergeCell ref="BD60:BD61"/>
    <mergeCell ref="BE60:BE61"/>
    <mergeCell ref="BF60:BF61"/>
    <mergeCell ref="BG60:BG61"/>
    <mergeCell ref="BH60:BH61"/>
    <mergeCell ref="AW60:AW61"/>
    <mergeCell ref="AX60:AX61"/>
    <mergeCell ref="AY60:AY61"/>
    <mergeCell ref="AZ60:AZ61"/>
    <mergeCell ref="BA60:BA61"/>
    <mergeCell ref="BB60:BB61"/>
    <mergeCell ref="AQ60:AQ61"/>
    <mergeCell ref="AR60:AR61"/>
    <mergeCell ref="AS60:AS61"/>
    <mergeCell ref="AT60:AT61"/>
    <mergeCell ref="AU60:AU61"/>
    <mergeCell ref="AV60:AV61"/>
    <mergeCell ref="AK60:AK61"/>
    <mergeCell ref="AL60:AL61"/>
    <mergeCell ref="AM60:AM61"/>
    <mergeCell ref="AN60:AN61"/>
    <mergeCell ref="AO60:AO61"/>
    <mergeCell ref="AP60:AP61"/>
    <mergeCell ref="AE60:AE61"/>
    <mergeCell ref="AF60:AF61"/>
    <mergeCell ref="AG60:AG61"/>
    <mergeCell ref="AH60:AH61"/>
    <mergeCell ref="AI60:AI61"/>
    <mergeCell ref="AJ60:AJ61"/>
    <mergeCell ref="Y60:Y61"/>
    <mergeCell ref="Z60:Z61"/>
    <mergeCell ref="AA60:AA61"/>
    <mergeCell ref="AB60:AB61"/>
    <mergeCell ref="AC60:AC61"/>
    <mergeCell ref="AD60:AD61"/>
    <mergeCell ref="S60:S61"/>
    <mergeCell ref="T60:T61"/>
    <mergeCell ref="U60:U61"/>
    <mergeCell ref="V60:V61"/>
    <mergeCell ref="W60:W61"/>
    <mergeCell ref="X60:X61"/>
    <mergeCell ref="BW58:BW59"/>
    <mergeCell ref="E60:I61"/>
    <mergeCell ref="K60:K61"/>
    <mergeCell ref="L60:L61"/>
    <mergeCell ref="M60:M61"/>
    <mergeCell ref="N60:N61"/>
    <mergeCell ref="O60:O61"/>
    <mergeCell ref="P60:P61"/>
    <mergeCell ref="Q60:Q61"/>
    <mergeCell ref="R60:R61"/>
    <mergeCell ref="BQ58:BQ59"/>
    <mergeCell ref="BR58:BR59"/>
    <mergeCell ref="BS58:BS59"/>
    <mergeCell ref="BT58:BT59"/>
    <mergeCell ref="BU58:BU59"/>
    <mergeCell ref="BV58:BV59"/>
    <mergeCell ref="BK58:BK59"/>
    <mergeCell ref="BL58:BL59"/>
    <mergeCell ref="BM58:BM59"/>
    <mergeCell ref="BN58:BN59"/>
    <mergeCell ref="BO58:BO59"/>
    <mergeCell ref="BP58:BP59"/>
    <mergeCell ref="BE58:BE59"/>
    <mergeCell ref="BF58:BF59"/>
    <mergeCell ref="BG58:BG59"/>
    <mergeCell ref="BH58:BH59"/>
    <mergeCell ref="BI58:BI59"/>
    <mergeCell ref="BJ58:BJ59"/>
    <mergeCell ref="AY58:AY59"/>
    <mergeCell ref="AZ58:AZ59"/>
    <mergeCell ref="BA58:BA59"/>
    <mergeCell ref="BB58:BB59"/>
    <mergeCell ref="BC58:BC59"/>
    <mergeCell ref="BD58:BD59"/>
    <mergeCell ref="AS58:AS59"/>
    <mergeCell ref="AT58:AT59"/>
    <mergeCell ref="AU58:AU59"/>
    <mergeCell ref="AV58:AV59"/>
    <mergeCell ref="AW58:AW59"/>
    <mergeCell ref="AX58:AX59"/>
    <mergeCell ref="AM58:AM59"/>
    <mergeCell ref="AN58:AN59"/>
    <mergeCell ref="AO58:AO59"/>
    <mergeCell ref="AP58:AP59"/>
    <mergeCell ref="AQ58:AQ59"/>
    <mergeCell ref="AR58:AR59"/>
    <mergeCell ref="AG58:AG59"/>
    <mergeCell ref="AH58:AH59"/>
    <mergeCell ref="AI58:AI59"/>
    <mergeCell ref="AJ58:AJ59"/>
    <mergeCell ref="AK58:AK59"/>
    <mergeCell ref="AL58:AL59"/>
    <mergeCell ref="AA58:AA59"/>
    <mergeCell ref="AB58:AB59"/>
    <mergeCell ref="AC58:AC59"/>
    <mergeCell ref="AD58:AD59"/>
    <mergeCell ref="AE58:AE59"/>
    <mergeCell ref="AF58:AF59"/>
    <mergeCell ref="U58:U59"/>
    <mergeCell ref="V58:V59"/>
    <mergeCell ref="W58:W59"/>
    <mergeCell ref="X58:X59"/>
    <mergeCell ref="Y58:Y59"/>
    <mergeCell ref="Z58:Z59"/>
    <mergeCell ref="O58:O59"/>
    <mergeCell ref="P58:P59"/>
    <mergeCell ref="Q58:Q59"/>
    <mergeCell ref="R58:R59"/>
    <mergeCell ref="S58:S59"/>
    <mergeCell ref="T58:T59"/>
    <mergeCell ref="BU56:BU57"/>
    <mergeCell ref="BV56:BV57"/>
    <mergeCell ref="BW56:BW57"/>
    <mergeCell ref="C58:D61"/>
    <mergeCell ref="E58:I59"/>
    <mergeCell ref="J58:J59"/>
    <mergeCell ref="K58:K59"/>
    <mergeCell ref="L58:L59"/>
    <mergeCell ref="M58:M59"/>
    <mergeCell ref="N58:N59"/>
    <mergeCell ref="BO56:BO57"/>
    <mergeCell ref="BP56:BP57"/>
    <mergeCell ref="BQ56:BQ57"/>
    <mergeCell ref="BR56:BR57"/>
    <mergeCell ref="BS56:BS57"/>
    <mergeCell ref="BT56:BT57"/>
    <mergeCell ref="BI56:BI57"/>
    <mergeCell ref="BJ56:BJ57"/>
    <mergeCell ref="BK56:BK57"/>
    <mergeCell ref="BL56:BL57"/>
    <mergeCell ref="BM56:BM57"/>
    <mergeCell ref="BN56:BN57"/>
    <mergeCell ref="BC56:BC57"/>
    <mergeCell ref="BD56:BD57"/>
    <mergeCell ref="BE56:BE57"/>
    <mergeCell ref="BF56:BF57"/>
    <mergeCell ref="BG56:BG57"/>
    <mergeCell ref="BH56:BH57"/>
    <mergeCell ref="AW56:AW57"/>
    <mergeCell ref="AX56:AX57"/>
    <mergeCell ref="AY56:AY57"/>
    <mergeCell ref="AZ56:AZ57"/>
    <mergeCell ref="BA56:BA57"/>
    <mergeCell ref="BB56:BB57"/>
    <mergeCell ref="AQ56:AQ57"/>
    <mergeCell ref="AR56:AR57"/>
    <mergeCell ref="AS56:AS57"/>
    <mergeCell ref="AT56:AT57"/>
    <mergeCell ref="AU56:AU57"/>
    <mergeCell ref="AV56:AV57"/>
    <mergeCell ref="AK56:AK57"/>
    <mergeCell ref="AL56:AL57"/>
    <mergeCell ref="AM56:AM57"/>
    <mergeCell ref="AN56:AN57"/>
    <mergeCell ref="AO56:AO57"/>
    <mergeCell ref="AP56:AP57"/>
    <mergeCell ref="AE56:AE57"/>
    <mergeCell ref="AF56:AF57"/>
    <mergeCell ref="AG56:AG57"/>
    <mergeCell ref="AH56:AH57"/>
    <mergeCell ref="AI56:AI57"/>
    <mergeCell ref="AJ56:AJ57"/>
    <mergeCell ref="Y56:Y57"/>
    <mergeCell ref="Z56:Z57"/>
    <mergeCell ref="AA56:AA57"/>
    <mergeCell ref="AB56:AB57"/>
    <mergeCell ref="AC56:AC57"/>
    <mergeCell ref="AD56:AD57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BT54:BT55"/>
    <mergeCell ref="BU54:BU55"/>
    <mergeCell ref="BV54:BV55"/>
    <mergeCell ref="BW54:BW55"/>
    <mergeCell ref="B56:B65"/>
    <mergeCell ref="C56:D57"/>
    <mergeCell ref="E56:I57"/>
    <mergeCell ref="J56:J57"/>
    <mergeCell ref="K56:K57"/>
    <mergeCell ref="L56:L57"/>
    <mergeCell ref="BN54:BN55"/>
    <mergeCell ref="BO54:BO55"/>
    <mergeCell ref="BP54:BP55"/>
    <mergeCell ref="BQ54:BQ55"/>
    <mergeCell ref="BR54:BR55"/>
    <mergeCell ref="BS54:BS55"/>
    <mergeCell ref="BH54:BH55"/>
    <mergeCell ref="BI54:BI55"/>
    <mergeCell ref="BJ54:BJ55"/>
    <mergeCell ref="BK54:BK55"/>
    <mergeCell ref="BL54:BL55"/>
    <mergeCell ref="BM54:BM55"/>
    <mergeCell ref="BB54:BB55"/>
    <mergeCell ref="BC54:BC55"/>
    <mergeCell ref="BD54:BD55"/>
    <mergeCell ref="BE54:BE55"/>
    <mergeCell ref="BF54:BF55"/>
    <mergeCell ref="BG54:BG55"/>
    <mergeCell ref="AV54:AV55"/>
    <mergeCell ref="AW54:AW55"/>
    <mergeCell ref="AX54:AX55"/>
    <mergeCell ref="AY54:AY55"/>
    <mergeCell ref="AZ54:AZ55"/>
    <mergeCell ref="BA54:BA55"/>
    <mergeCell ref="AP54:AP55"/>
    <mergeCell ref="AQ54:AQ55"/>
    <mergeCell ref="AR54:AR55"/>
    <mergeCell ref="AS54:AS55"/>
    <mergeCell ref="AT54:AT55"/>
    <mergeCell ref="AU54:AU55"/>
    <mergeCell ref="AJ54:AJ55"/>
    <mergeCell ref="AK54:AK55"/>
    <mergeCell ref="AL54:AL55"/>
    <mergeCell ref="AM54:AM55"/>
    <mergeCell ref="AN54:AN55"/>
    <mergeCell ref="AO54:AO55"/>
    <mergeCell ref="AD54:AD55"/>
    <mergeCell ref="AE54:AE55"/>
    <mergeCell ref="AF54:AF55"/>
    <mergeCell ref="AG54:AG55"/>
    <mergeCell ref="AH54:AH55"/>
    <mergeCell ref="AI54:AI55"/>
    <mergeCell ref="X54:X55"/>
    <mergeCell ref="Y54:Y55"/>
    <mergeCell ref="Z54:Z55"/>
    <mergeCell ref="AA54:AA55"/>
    <mergeCell ref="AB54:AB55"/>
    <mergeCell ref="AC54:AC55"/>
    <mergeCell ref="R54:R55"/>
    <mergeCell ref="S54:S55"/>
    <mergeCell ref="T54:T55"/>
    <mergeCell ref="U54:U55"/>
    <mergeCell ref="V54:V55"/>
    <mergeCell ref="W54:W55"/>
    <mergeCell ref="BW52:BW53"/>
    <mergeCell ref="C54:E55"/>
    <mergeCell ref="F54:I55"/>
    <mergeCell ref="K54:K55"/>
    <mergeCell ref="L54:L55"/>
    <mergeCell ref="M54:M55"/>
    <mergeCell ref="N54:N55"/>
    <mergeCell ref="O54:O55"/>
    <mergeCell ref="P54:P55"/>
    <mergeCell ref="Q54:Q55"/>
    <mergeCell ref="BQ52:BQ53"/>
    <mergeCell ref="BR52:BR53"/>
    <mergeCell ref="BS52:BS53"/>
    <mergeCell ref="BT52:BT53"/>
    <mergeCell ref="BU52:BU53"/>
    <mergeCell ref="BV52:BV53"/>
    <mergeCell ref="BK52:BK53"/>
    <mergeCell ref="BL52:BL53"/>
    <mergeCell ref="BM52:BM53"/>
    <mergeCell ref="BN52:BN53"/>
    <mergeCell ref="BO52:BO53"/>
    <mergeCell ref="BP52:BP53"/>
    <mergeCell ref="BE52:BE53"/>
    <mergeCell ref="BF52:BF53"/>
    <mergeCell ref="BG52:BG53"/>
    <mergeCell ref="BH52:BH53"/>
    <mergeCell ref="BI52:BI53"/>
    <mergeCell ref="BJ52:BJ53"/>
    <mergeCell ref="AY52:AY53"/>
    <mergeCell ref="AZ52:AZ53"/>
    <mergeCell ref="BA52:BA53"/>
    <mergeCell ref="BB52:BB53"/>
    <mergeCell ref="BC52:BC53"/>
    <mergeCell ref="BD52:BD53"/>
    <mergeCell ref="AS52:AS53"/>
    <mergeCell ref="AT52:AT53"/>
    <mergeCell ref="AU52:AU53"/>
    <mergeCell ref="AV52:AV53"/>
    <mergeCell ref="AW52:AW53"/>
    <mergeCell ref="AX52:AX53"/>
    <mergeCell ref="AM52:AM53"/>
    <mergeCell ref="AN52:AN53"/>
    <mergeCell ref="AO52:AO53"/>
    <mergeCell ref="AP52:AP53"/>
    <mergeCell ref="AQ52:AQ53"/>
    <mergeCell ref="AR52:AR53"/>
    <mergeCell ref="AG52:AG53"/>
    <mergeCell ref="AH52:AH53"/>
    <mergeCell ref="AI52:AI53"/>
    <mergeCell ref="AJ52:AJ53"/>
    <mergeCell ref="AK52:AK53"/>
    <mergeCell ref="AL52:AL53"/>
    <mergeCell ref="AA52:AA53"/>
    <mergeCell ref="AB52:AB53"/>
    <mergeCell ref="AC52:AC53"/>
    <mergeCell ref="AD52:AD53"/>
    <mergeCell ref="AE52:AE53"/>
    <mergeCell ref="AF52:AF53"/>
    <mergeCell ref="U52:U53"/>
    <mergeCell ref="V52:V53"/>
    <mergeCell ref="W52:W53"/>
    <mergeCell ref="X52:X53"/>
    <mergeCell ref="Y52:Y53"/>
    <mergeCell ref="Z52:Z53"/>
    <mergeCell ref="O52:O53"/>
    <mergeCell ref="P52:P53"/>
    <mergeCell ref="Q52:Q53"/>
    <mergeCell ref="R52:R53"/>
    <mergeCell ref="S52:S53"/>
    <mergeCell ref="T52:T53"/>
    <mergeCell ref="C52:E53"/>
    <mergeCell ref="F52:I53"/>
    <mergeCell ref="K52:K53"/>
    <mergeCell ref="L52:L53"/>
    <mergeCell ref="M52:M53"/>
    <mergeCell ref="N52:N53"/>
    <mergeCell ref="BR50:BR51"/>
    <mergeCell ref="BS50:BS51"/>
    <mergeCell ref="BT50:BT51"/>
    <mergeCell ref="BU50:BU51"/>
    <mergeCell ref="BV50:BV51"/>
    <mergeCell ref="AT50:AT51"/>
    <mergeCell ref="AU50:AU51"/>
    <mergeCell ref="AV50:AV51"/>
    <mergeCell ref="AW50:AW51"/>
    <mergeCell ref="AX50:AX51"/>
    <mergeCell ref="AY50:AY51"/>
    <mergeCell ref="AN50:AN51"/>
    <mergeCell ref="AO50:AO51"/>
    <mergeCell ref="AP50:AP51"/>
    <mergeCell ref="AQ50:AQ51"/>
    <mergeCell ref="AR50:AR51"/>
    <mergeCell ref="AS50:AS51"/>
    <mergeCell ref="AH50:AH51"/>
    <mergeCell ref="AI50:AI51"/>
    <mergeCell ref="AJ50:AJ51"/>
    <mergeCell ref="BW50:BW51"/>
    <mergeCell ref="BL50:BL51"/>
    <mergeCell ref="BM50:BM51"/>
    <mergeCell ref="BN50:BN51"/>
    <mergeCell ref="BO50:BO51"/>
    <mergeCell ref="BP50:BP51"/>
    <mergeCell ref="BQ50:BQ51"/>
    <mergeCell ref="BF50:BF51"/>
    <mergeCell ref="BG50:BG51"/>
    <mergeCell ref="BH50:BH51"/>
    <mergeCell ref="BI50:BI51"/>
    <mergeCell ref="BJ50:BJ51"/>
    <mergeCell ref="BK50:BK51"/>
    <mergeCell ref="AZ50:AZ51"/>
    <mergeCell ref="BA50:BA51"/>
    <mergeCell ref="BB50:BB51"/>
    <mergeCell ref="BC50:BC51"/>
    <mergeCell ref="BD50:BD51"/>
    <mergeCell ref="BE50:BE51"/>
    <mergeCell ref="AK50:AK51"/>
    <mergeCell ref="AL50:AL51"/>
    <mergeCell ref="AM50:AM51"/>
    <mergeCell ref="AB50:AB51"/>
    <mergeCell ref="AC50:AC51"/>
    <mergeCell ref="AD50:AD51"/>
    <mergeCell ref="AE50:AE51"/>
    <mergeCell ref="AF50:AF51"/>
    <mergeCell ref="AG50:AG51"/>
    <mergeCell ref="V50:V51"/>
    <mergeCell ref="W50:W51"/>
    <mergeCell ref="X50:X51"/>
    <mergeCell ref="Y50:Y51"/>
    <mergeCell ref="Z50:Z51"/>
    <mergeCell ref="AA50:AA51"/>
    <mergeCell ref="P50:P51"/>
    <mergeCell ref="Q50:Q51"/>
    <mergeCell ref="R50:R51"/>
    <mergeCell ref="S50:S51"/>
    <mergeCell ref="T50:T51"/>
    <mergeCell ref="U50:U51"/>
    <mergeCell ref="BV48:BV49"/>
    <mergeCell ref="BW48:BW49"/>
    <mergeCell ref="C50:E51"/>
    <mergeCell ref="F50:I51"/>
    <mergeCell ref="J50:J51"/>
    <mergeCell ref="K50:K51"/>
    <mergeCell ref="L50:L51"/>
    <mergeCell ref="M50:M51"/>
    <mergeCell ref="N50:N51"/>
    <mergeCell ref="O50:O51"/>
    <mergeCell ref="BP48:BP49"/>
    <mergeCell ref="BQ48:BQ49"/>
    <mergeCell ref="BR48:BR49"/>
    <mergeCell ref="BS48:BS49"/>
    <mergeCell ref="BT48:BT49"/>
    <mergeCell ref="BU48:BU49"/>
    <mergeCell ref="BJ48:BJ49"/>
    <mergeCell ref="BK48:BK49"/>
    <mergeCell ref="BL48:BL49"/>
    <mergeCell ref="BM48:BM49"/>
    <mergeCell ref="BN48:BN49"/>
    <mergeCell ref="BO48:BO49"/>
    <mergeCell ref="BD48:BD49"/>
    <mergeCell ref="BE48:BE49"/>
    <mergeCell ref="BF48:BF49"/>
    <mergeCell ref="BG48:BG49"/>
    <mergeCell ref="BH48:BH49"/>
    <mergeCell ref="BI48:BI49"/>
    <mergeCell ref="AX48:AX49"/>
    <mergeCell ref="AY48:AY49"/>
    <mergeCell ref="AZ48:AZ49"/>
    <mergeCell ref="BA48:BA49"/>
    <mergeCell ref="BB48:BB49"/>
    <mergeCell ref="BC48:BC49"/>
    <mergeCell ref="AR48:AR49"/>
    <mergeCell ref="AS48:AS49"/>
    <mergeCell ref="AT48:AT49"/>
    <mergeCell ref="AU48:AU49"/>
    <mergeCell ref="AV48:AV49"/>
    <mergeCell ref="AW48:AW49"/>
    <mergeCell ref="AL48:AL49"/>
    <mergeCell ref="AM48:AM49"/>
    <mergeCell ref="AN48:AN49"/>
    <mergeCell ref="AO48:AO49"/>
    <mergeCell ref="AP48:AP49"/>
    <mergeCell ref="AQ48:AQ49"/>
    <mergeCell ref="AF48:AF49"/>
    <mergeCell ref="AG48:AG49"/>
    <mergeCell ref="AH48:AH49"/>
    <mergeCell ref="AI48:AI49"/>
    <mergeCell ref="AJ48:AJ49"/>
    <mergeCell ref="AK48:AK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N48:N49"/>
    <mergeCell ref="O48:O49"/>
    <mergeCell ref="P48:P49"/>
    <mergeCell ref="Q48:Q49"/>
    <mergeCell ref="R48:R49"/>
    <mergeCell ref="S48:S49"/>
    <mergeCell ref="BT46:BT47"/>
    <mergeCell ref="BU46:BU47"/>
    <mergeCell ref="BV46:BV47"/>
    <mergeCell ref="BW46:BW47"/>
    <mergeCell ref="C48:E49"/>
    <mergeCell ref="F48:I49"/>
    <mergeCell ref="J48:J49"/>
    <mergeCell ref="K48:K49"/>
    <mergeCell ref="L48:L49"/>
    <mergeCell ref="M48:M49"/>
    <mergeCell ref="BN46:BN47"/>
    <mergeCell ref="BO46:BO47"/>
    <mergeCell ref="BP46:BP47"/>
    <mergeCell ref="BQ46:BQ47"/>
    <mergeCell ref="BR46:BR47"/>
    <mergeCell ref="BS46:BS47"/>
    <mergeCell ref="BH46:BH47"/>
    <mergeCell ref="BI46:BI47"/>
    <mergeCell ref="BJ46:BJ47"/>
    <mergeCell ref="BK46:BK47"/>
    <mergeCell ref="BL46:BL47"/>
    <mergeCell ref="BM46:BM47"/>
    <mergeCell ref="BB46:BB47"/>
    <mergeCell ref="BC46:BC47"/>
    <mergeCell ref="BD46:BD47"/>
    <mergeCell ref="BE46:BE47"/>
    <mergeCell ref="BF46:BF47"/>
    <mergeCell ref="BG46:BG47"/>
    <mergeCell ref="AV46:AV47"/>
    <mergeCell ref="AW46:AW47"/>
    <mergeCell ref="AX46:AX47"/>
    <mergeCell ref="AY46:AY47"/>
    <mergeCell ref="AZ46:AZ47"/>
    <mergeCell ref="BA46:BA47"/>
    <mergeCell ref="AP46:AP47"/>
    <mergeCell ref="AQ46:AQ47"/>
    <mergeCell ref="AR46:AR47"/>
    <mergeCell ref="AS46:AS47"/>
    <mergeCell ref="AT46:AT47"/>
    <mergeCell ref="AU46:AU47"/>
    <mergeCell ref="AJ46:AJ47"/>
    <mergeCell ref="AK46:AK47"/>
    <mergeCell ref="AL46:AL47"/>
    <mergeCell ref="AM46:AM47"/>
    <mergeCell ref="AN46:AN47"/>
    <mergeCell ref="AO46:AO47"/>
    <mergeCell ref="AD46:AD47"/>
    <mergeCell ref="AE46:AE47"/>
    <mergeCell ref="AF46:AF47"/>
    <mergeCell ref="AG46:AG47"/>
    <mergeCell ref="AH46:AH47"/>
    <mergeCell ref="AI46:AI47"/>
    <mergeCell ref="X46:X47"/>
    <mergeCell ref="Y46:Y47"/>
    <mergeCell ref="Z46:Z47"/>
    <mergeCell ref="AA46:AA47"/>
    <mergeCell ref="AB46:AB47"/>
    <mergeCell ref="AC46:AC47"/>
    <mergeCell ref="R46:R47"/>
    <mergeCell ref="S46:S47"/>
    <mergeCell ref="T46:T47"/>
    <mergeCell ref="U46:U47"/>
    <mergeCell ref="V46:V47"/>
    <mergeCell ref="W46:W47"/>
    <mergeCell ref="BW44:BW45"/>
    <mergeCell ref="F46:I47"/>
    <mergeCell ref="J46:J47"/>
    <mergeCell ref="K46:K47"/>
    <mergeCell ref="L46:L47"/>
    <mergeCell ref="M46:M47"/>
    <mergeCell ref="N46:N47"/>
    <mergeCell ref="O46:O47"/>
    <mergeCell ref="P46:P47"/>
    <mergeCell ref="Q46:Q47"/>
    <mergeCell ref="BQ44:BQ45"/>
    <mergeCell ref="BR44:BR45"/>
    <mergeCell ref="BS44:BS45"/>
    <mergeCell ref="BT44:BT45"/>
    <mergeCell ref="BU44:BU45"/>
    <mergeCell ref="BV44:BV45"/>
    <mergeCell ref="BK44:BK45"/>
    <mergeCell ref="BL44:BL45"/>
    <mergeCell ref="BM44:BM45"/>
    <mergeCell ref="BN44:BN45"/>
    <mergeCell ref="BO44:BO45"/>
    <mergeCell ref="BP44:BP45"/>
    <mergeCell ref="BE44:BE45"/>
    <mergeCell ref="BF44:BF45"/>
    <mergeCell ref="BG44:BG45"/>
    <mergeCell ref="BH44:BH45"/>
    <mergeCell ref="BI44:BI45"/>
    <mergeCell ref="BJ44:BJ45"/>
    <mergeCell ref="AY44:AY45"/>
    <mergeCell ref="AZ44:AZ45"/>
    <mergeCell ref="BA44:BA45"/>
    <mergeCell ref="BB44:BB45"/>
    <mergeCell ref="BC44:BC45"/>
    <mergeCell ref="BD44:BD45"/>
    <mergeCell ref="AS44:AS45"/>
    <mergeCell ref="AT44:AT45"/>
    <mergeCell ref="AU44:AU45"/>
    <mergeCell ref="AV44:AV45"/>
    <mergeCell ref="AW44:AW45"/>
    <mergeCell ref="AX44:AX45"/>
    <mergeCell ref="AM44:AM45"/>
    <mergeCell ref="AN44:AN45"/>
    <mergeCell ref="AO44:AO45"/>
    <mergeCell ref="AP44:AP45"/>
    <mergeCell ref="AQ44:AQ45"/>
    <mergeCell ref="AR44:AR45"/>
    <mergeCell ref="AG44:AG45"/>
    <mergeCell ref="AH44:AH45"/>
    <mergeCell ref="AI44:AI45"/>
    <mergeCell ref="AJ44:AJ45"/>
    <mergeCell ref="AK44:AK45"/>
    <mergeCell ref="AL44:AL45"/>
    <mergeCell ref="AA44:AA45"/>
    <mergeCell ref="AB44:AB45"/>
    <mergeCell ref="AC44:AC45"/>
    <mergeCell ref="AD44:AD45"/>
    <mergeCell ref="AE44:AE45"/>
    <mergeCell ref="AF44:AF45"/>
    <mergeCell ref="U44:U45"/>
    <mergeCell ref="V44:V45"/>
    <mergeCell ref="W44:W45"/>
    <mergeCell ref="X44:X45"/>
    <mergeCell ref="Y44:Y45"/>
    <mergeCell ref="Z44:Z45"/>
    <mergeCell ref="O44:O45"/>
    <mergeCell ref="P44:P45"/>
    <mergeCell ref="Q44:Q45"/>
    <mergeCell ref="R44:R45"/>
    <mergeCell ref="S44:S45"/>
    <mergeCell ref="T44:T45"/>
    <mergeCell ref="BS42:BS43"/>
    <mergeCell ref="BT42:BT43"/>
    <mergeCell ref="BU42:BU43"/>
    <mergeCell ref="BV42:BV43"/>
    <mergeCell ref="BW42:BW43"/>
    <mergeCell ref="AR42:AR43"/>
    <mergeCell ref="AS42:AS43"/>
    <mergeCell ref="AT42:AT43"/>
    <mergeCell ref="AI42:AI43"/>
    <mergeCell ref="AJ42:AJ43"/>
    <mergeCell ref="AK42:AK43"/>
    <mergeCell ref="AL42:AL43"/>
    <mergeCell ref="AM42:AM43"/>
    <mergeCell ref="AN42:AN43"/>
    <mergeCell ref="AC42:AC43"/>
    <mergeCell ref="AD42:AD43"/>
    <mergeCell ref="AE42:AE43"/>
    <mergeCell ref="AF42:AF43"/>
    <mergeCell ref="AG42:AG43"/>
    <mergeCell ref="AH42:AH43"/>
    <mergeCell ref="F44:I45"/>
    <mergeCell ref="K44:K45"/>
    <mergeCell ref="L44:L45"/>
    <mergeCell ref="M44:M45"/>
    <mergeCell ref="N44:N45"/>
    <mergeCell ref="BM42:BM43"/>
    <mergeCell ref="BN42:BN43"/>
    <mergeCell ref="BO42:BO43"/>
    <mergeCell ref="BP42:BP43"/>
    <mergeCell ref="BQ42:BQ43"/>
    <mergeCell ref="BR42:BR43"/>
    <mergeCell ref="BG42:BG43"/>
    <mergeCell ref="BH42:BH43"/>
    <mergeCell ref="BI42:BI43"/>
    <mergeCell ref="BJ42:BJ43"/>
    <mergeCell ref="BK42:BK43"/>
    <mergeCell ref="BL42:BL43"/>
    <mergeCell ref="BA42:BA43"/>
    <mergeCell ref="BB42:BB43"/>
    <mergeCell ref="BC42:BC43"/>
    <mergeCell ref="BD42:BD43"/>
    <mergeCell ref="BE42:BE43"/>
    <mergeCell ref="BF42:BF43"/>
    <mergeCell ref="AU42:AU43"/>
    <mergeCell ref="AV42:AV43"/>
    <mergeCell ref="AW42:AW43"/>
    <mergeCell ref="AX42:AX43"/>
    <mergeCell ref="AY42:AY43"/>
    <mergeCell ref="AZ42:AZ43"/>
    <mergeCell ref="AO42:AO43"/>
    <mergeCell ref="AP42:AP43"/>
    <mergeCell ref="AQ42:AQ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BW40:BW41"/>
    <mergeCell ref="C42:E45"/>
    <mergeCell ref="F42:I43"/>
    <mergeCell ref="J42:J43"/>
    <mergeCell ref="K42:K43"/>
    <mergeCell ref="L42:L43"/>
    <mergeCell ref="M42:M43"/>
    <mergeCell ref="N42:N43"/>
    <mergeCell ref="O42:O43"/>
    <mergeCell ref="P42:P43"/>
    <mergeCell ref="BQ40:BQ41"/>
    <mergeCell ref="BR40:BR41"/>
    <mergeCell ref="BS40:BS41"/>
    <mergeCell ref="BT40:BT41"/>
    <mergeCell ref="BU40:BU41"/>
    <mergeCell ref="BV40:BV41"/>
    <mergeCell ref="BK40:BK41"/>
    <mergeCell ref="BL40:BL41"/>
    <mergeCell ref="BM40:BM41"/>
    <mergeCell ref="BN40:BN41"/>
    <mergeCell ref="BO40:BO41"/>
    <mergeCell ref="BP40:BP41"/>
    <mergeCell ref="BE40:BE41"/>
    <mergeCell ref="BF40:BF41"/>
    <mergeCell ref="BG40:BG41"/>
    <mergeCell ref="BH40:BH41"/>
    <mergeCell ref="BI40:BI41"/>
    <mergeCell ref="BJ40:BJ41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AM40:AM41"/>
    <mergeCell ref="AN40:AN41"/>
    <mergeCell ref="AO40:AO41"/>
    <mergeCell ref="AP40:AP41"/>
    <mergeCell ref="AQ40:AQ41"/>
    <mergeCell ref="AR40:AR41"/>
    <mergeCell ref="AG40:AG41"/>
    <mergeCell ref="AH40:AH41"/>
    <mergeCell ref="AI40:AI41"/>
    <mergeCell ref="AJ40:AJ41"/>
    <mergeCell ref="AK40:AK41"/>
    <mergeCell ref="AL40:AL41"/>
    <mergeCell ref="AA40:AA41"/>
    <mergeCell ref="AB40:AB41"/>
    <mergeCell ref="AC40:AC41"/>
    <mergeCell ref="AD40:AD41"/>
    <mergeCell ref="AE40:AE41"/>
    <mergeCell ref="AF40:AF41"/>
    <mergeCell ref="U40:U41"/>
    <mergeCell ref="V40:V41"/>
    <mergeCell ref="W40:W41"/>
    <mergeCell ref="X40:X41"/>
    <mergeCell ref="Y40:Y41"/>
    <mergeCell ref="Z40:Z41"/>
    <mergeCell ref="O40:O41"/>
    <mergeCell ref="P40:P41"/>
    <mergeCell ref="Q40:Q41"/>
    <mergeCell ref="R40:R41"/>
    <mergeCell ref="S40:S41"/>
    <mergeCell ref="T40:T41"/>
    <mergeCell ref="F40:I41"/>
    <mergeCell ref="J40:J41"/>
    <mergeCell ref="K40:K41"/>
    <mergeCell ref="L40:L41"/>
    <mergeCell ref="M40:M41"/>
    <mergeCell ref="N40:N41"/>
    <mergeCell ref="BR38:BR39"/>
    <mergeCell ref="BS38:BS39"/>
    <mergeCell ref="BT38:BT39"/>
    <mergeCell ref="BU38:BU39"/>
    <mergeCell ref="BV38:BV39"/>
    <mergeCell ref="BW38:BW39"/>
    <mergeCell ref="BL38:BL39"/>
    <mergeCell ref="BM38:BM39"/>
    <mergeCell ref="BN38:BN39"/>
    <mergeCell ref="BO38:BO39"/>
    <mergeCell ref="BP38:BP39"/>
    <mergeCell ref="BQ38:BQ39"/>
    <mergeCell ref="BF38:BF39"/>
    <mergeCell ref="BG38:BG39"/>
    <mergeCell ref="BH38:BH39"/>
    <mergeCell ref="BI38:BI39"/>
    <mergeCell ref="BJ38:BJ39"/>
    <mergeCell ref="BK38:BK39"/>
    <mergeCell ref="AZ38:AZ39"/>
    <mergeCell ref="BA38:BA39"/>
    <mergeCell ref="BB38:BB39"/>
    <mergeCell ref="BC38:BC39"/>
    <mergeCell ref="BD38:BD39"/>
    <mergeCell ref="BE38:BE39"/>
    <mergeCell ref="AT38:AT39"/>
    <mergeCell ref="AU38:AU39"/>
    <mergeCell ref="AV38:AV39"/>
    <mergeCell ref="AW38:AW39"/>
    <mergeCell ref="AX38:AX39"/>
    <mergeCell ref="AY38:AY39"/>
    <mergeCell ref="AN38:AN39"/>
    <mergeCell ref="AO38:AO39"/>
    <mergeCell ref="AP38:AP39"/>
    <mergeCell ref="AQ38:AQ39"/>
    <mergeCell ref="AR38:AR39"/>
    <mergeCell ref="AS38:AS39"/>
    <mergeCell ref="AH38:AH39"/>
    <mergeCell ref="AI38:AI39"/>
    <mergeCell ref="AJ38:AJ39"/>
    <mergeCell ref="AK38:AK39"/>
    <mergeCell ref="AL38:AL39"/>
    <mergeCell ref="AM38:AM39"/>
    <mergeCell ref="AB38:AB39"/>
    <mergeCell ref="AC38:AC39"/>
    <mergeCell ref="AD38:AD39"/>
    <mergeCell ref="AE38:AE39"/>
    <mergeCell ref="AF38:AF39"/>
    <mergeCell ref="AG38:AG39"/>
    <mergeCell ref="V38:V39"/>
    <mergeCell ref="W38:W39"/>
    <mergeCell ref="X38:X39"/>
    <mergeCell ref="Y38:Y39"/>
    <mergeCell ref="Z38:Z39"/>
    <mergeCell ref="AA38:AA39"/>
    <mergeCell ref="P38:P39"/>
    <mergeCell ref="Q38:Q39"/>
    <mergeCell ref="R38:R39"/>
    <mergeCell ref="S38:S39"/>
    <mergeCell ref="T38:T39"/>
    <mergeCell ref="U38:U39"/>
    <mergeCell ref="BT36:BT37"/>
    <mergeCell ref="BU36:BU37"/>
    <mergeCell ref="BV36:BV37"/>
    <mergeCell ref="BW36:BW37"/>
    <mergeCell ref="F38:I39"/>
    <mergeCell ref="K38:K39"/>
    <mergeCell ref="L38:L39"/>
    <mergeCell ref="M38:M39"/>
    <mergeCell ref="N38:N39"/>
    <mergeCell ref="O38:O39"/>
    <mergeCell ref="BN36:BN37"/>
    <mergeCell ref="BO36:BO37"/>
    <mergeCell ref="BP36:BP37"/>
    <mergeCell ref="BQ36:BQ37"/>
    <mergeCell ref="BR36:BR37"/>
    <mergeCell ref="BS36:BS37"/>
    <mergeCell ref="BH36:BH37"/>
    <mergeCell ref="BI36:BI37"/>
    <mergeCell ref="BJ36:BJ37"/>
    <mergeCell ref="BK36:BK37"/>
    <mergeCell ref="BL36:BL37"/>
    <mergeCell ref="BM36:BM37"/>
    <mergeCell ref="BB36:BB37"/>
    <mergeCell ref="BC36:BC37"/>
    <mergeCell ref="BD36:BD37"/>
    <mergeCell ref="BE36:BE37"/>
    <mergeCell ref="BF36:BF37"/>
    <mergeCell ref="BG36:BG37"/>
    <mergeCell ref="AV36:AV37"/>
    <mergeCell ref="AW36:AW37"/>
    <mergeCell ref="AX36:AX37"/>
    <mergeCell ref="AY36:AY37"/>
    <mergeCell ref="AZ36:AZ37"/>
    <mergeCell ref="BA36:BA37"/>
    <mergeCell ref="AP36:AP37"/>
    <mergeCell ref="AQ36:AQ37"/>
    <mergeCell ref="AR36:AR37"/>
    <mergeCell ref="AS36:AS37"/>
    <mergeCell ref="AT36:AT37"/>
    <mergeCell ref="AU36:AU37"/>
    <mergeCell ref="AJ36:AJ37"/>
    <mergeCell ref="AK36:AK37"/>
    <mergeCell ref="AL36:AL37"/>
    <mergeCell ref="AM36:AM37"/>
    <mergeCell ref="AN36:AN37"/>
    <mergeCell ref="AO36:AO37"/>
    <mergeCell ref="AD36:AD37"/>
    <mergeCell ref="AE36:AE37"/>
    <mergeCell ref="AF36:AF37"/>
    <mergeCell ref="AG36:AG37"/>
    <mergeCell ref="AH36:AH37"/>
    <mergeCell ref="AI36:AI37"/>
    <mergeCell ref="X36:X37"/>
    <mergeCell ref="Y36:Y37"/>
    <mergeCell ref="Z36:Z37"/>
    <mergeCell ref="AA36:AA37"/>
    <mergeCell ref="AB36:AB37"/>
    <mergeCell ref="AC36:AC37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BS34:BS35"/>
    <mergeCell ref="BT34:BT35"/>
    <mergeCell ref="BU34:BU35"/>
    <mergeCell ref="BV34:BV35"/>
    <mergeCell ref="BW34:BW35"/>
    <mergeCell ref="B36:B55"/>
    <mergeCell ref="C36:E39"/>
    <mergeCell ref="F36:I37"/>
    <mergeCell ref="J36:J37"/>
    <mergeCell ref="K36:K37"/>
    <mergeCell ref="BM34:BM35"/>
    <mergeCell ref="BN34:BN35"/>
    <mergeCell ref="BO34:BO35"/>
    <mergeCell ref="BP34:BP35"/>
    <mergeCell ref="BQ34:BQ35"/>
    <mergeCell ref="BR34:BR35"/>
    <mergeCell ref="BG34:BG35"/>
    <mergeCell ref="BH34:BH35"/>
    <mergeCell ref="BI34:BI35"/>
    <mergeCell ref="BJ34:BJ35"/>
    <mergeCell ref="BK34:BK35"/>
    <mergeCell ref="BL34:BL35"/>
    <mergeCell ref="BA34:BA35"/>
    <mergeCell ref="BB34:BB35"/>
    <mergeCell ref="BC34:BC35"/>
    <mergeCell ref="BD34:BD35"/>
    <mergeCell ref="BE34:BE35"/>
    <mergeCell ref="BF34:BF35"/>
    <mergeCell ref="AU34:AU35"/>
    <mergeCell ref="AV34:AV35"/>
    <mergeCell ref="AW34:AW35"/>
    <mergeCell ref="AX34:AX35"/>
    <mergeCell ref="AY34:AY35"/>
    <mergeCell ref="AZ34:AZ35"/>
    <mergeCell ref="AO34:AO35"/>
    <mergeCell ref="AP34:AP35"/>
    <mergeCell ref="AQ34:AQ35"/>
    <mergeCell ref="AR34:AR35"/>
    <mergeCell ref="AS34:AS35"/>
    <mergeCell ref="AT34:AT35"/>
    <mergeCell ref="AI34:AI35"/>
    <mergeCell ref="AJ34:AJ35"/>
    <mergeCell ref="AK34:AK35"/>
    <mergeCell ref="AL34:AL35"/>
    <mergeCell ref="AM34:AM35"/>
    <mergeCell ref="AN34:AN35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BW32:BW33"/>
    <mergeCell ref="C34:E34"/>
    <mergeCell ref="F34:I35"/>
    <mergeCell ref="J34:J35"/>
    <mergeCell ref="K34:K35"/>
    <mergeCell ref="L34:L35"/>
    <mergeCell ref="M34:M35"/>
    <mergeCell ref="N34:N35"/>
    <mergeCell ref="O34:O35"/>
    <mergeCell ref="P34:P35"/>
    <mergeCell ref="BQ32:BQ33"/>
    <mergeCell ref="BR32:BR33"/>
    <mergeCell ref="BS32:BS33"/>
    <mergeCell ref="BT32:BT33"/>
    <mergeCell ref="BU32:BU33"/>
    <mergeCell ref="BV32:BV33"/>
    <mergeCell ref="BK32:BK33"/>
    <mergeCell ref="BL32:BL33"/>
    <mergeCell ref="BM32:BM33"/>
    <mergeCell ref="BN32:BN33"/>
    <mergeCell ref="BO32:BO33"/>
    <mergeCell ref="BP32:BP33"/>
    <mergeCell ref="BE32:BE33"/>
    <mergeCell ref="BF32:BF33"/>
    <mergeCell ref="BG32:BG33"/>
    <mergeCell ref="BH32:BH33"/>
    <mergeCell ref="BI32:BI33"/>
    <mergeCell ref="BJ32:BJ33"/>
    <mergeCell ref="AY32:AY33"/>
    <mergeCell ref="AZ32:AZ33"/>
    <mergeCell ref="BA32:BA33"/>
    <mergeCell ref="BB32:BB33"/>
    <mergeCell ref="BC32:BC33"/>
    <mergeCell ref="BD32:BD33"/>
    <mergeCell ref="AS32:AS33"/>
    <mergeCell ref="AT32:AT33"/>
    <mergeCell ref="AU32:AU33"/>
    <mergeCell ref="AV32:AV33"/>
    <mergeCell ref="AW32:AW33"/>
    <mergeCell ref="AX32:AX33"/>
    <mergeCell ref="AM32:AM33"/>
    <mergeCell ref="AN32:AN33"/>
    <mergeCell ref="AO32:AO33"/>
    <mergeCell ref="AP32:AP33"/>
    <mergeCell ref="AQ32:AQ33"/>
    <mergeCell ref="AR32:AR33"/>
    <mergeCell ref="AG32:AG33"/>
    <mergeCell ref="AH32:AH33"/>
    <mergeCell ref="AI32:AI33"/>
    <mergeCell ref="AJ32:AJ33"/>
    <mergeCell ref="AK32:AK33"/>
    <mergeCell ref="AL32:AL33"/>
    <mergeCell ref="AA32:AA33"/>
    <mergeCell ref="AB32:AB33"/>
    <mergeCell ref="AC32:AC33"/>
    <mergeCell ref="AD32:AD33"/>
    <mergeCell ref="AE32:AE33"/>
    <mergeCell ref="AF32:AF33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BT30:BT31"/>
    <mergeCell ref="BU30:BU31"/>
    <mergeCell ref="BV30:BV31"/>
    <mergeCell ref="BW30:BW31"/>
    <mergeCell ref="C32:E33"/>
    <mergeCell ref="J32:J33"/>
    <mergeCell ref="K32:K33"/>
    <mergeCell ref="L32:L33"/>
    <mergeCell ref="M32:M33"/>
    <mergeCell ref="N32:N33"/>
    <mergeCell ref="BN30:BN31"/>
    <mergeCell ref="BO30:BO31"/>
    <mergeCell ref="BP30:BP31"/>
    <mergeCell ref="BQ30:BQ31"/>
    <mergeCell ref="BR30:BR31"/>
    <mergeCell ref="BS30:BS31"/>
    <mergeCell ref="BH30:BH31"/>
    <mergeCell ref="BI30:BI31"/>
    <mergeCell ref="BJ30:BJ31"/>
    <mergeCell ref="BK30:BK31"/>
    <mergeCell ref="BL30:BL31"/>
    <mergeCell ref="BM30:BM31"/>
    <mergeCell ref="BB30:BB31"/>
    <mergeCell ref="BC30:BC31"/>
    <mergeCell ref="BD30:BD31"/>
    <mergeCell ref="BE30:BE31"/>
    <mergeCell ref="BF30:BF31"/>
    <mergeCell ref="BG30:BG31"/>
    <mergeCell ref="AV30:AV31"/>
    <mergeCell ref="AW30:AW31"/>
    <mergeCell ref="AX30:AX31"/>
    <mergeCell ref="AY30:AY31"/>
    <mergeCell ref="AZ30:AZ31"/>
    <mergeCell ref="BA30:BA31"/>
    <mergeCell ref="AP30:AP31"/>
    <mergeCell ref="AQ30:AQ31"/>
    <mergeCell ref="AR30:AR31"/>
    <mergeCell ref="AS30:AS31"/>
    <mergeCell ref="AT30:AT31"/>
    <mergeCell ref="AU30:AU31"/>
    <mergeCell ref="AJ30:AJ31"/>
    <mergeCell ref="AK30:AK31"/>
    <mergeCell ref="AL30:AL31"/>
    <mergeCell ref="AM30:AM31"/>
    <mergeCell ref="AN30:AN31"/>
    <mergeCell ref="AO30:AO31"/>
    <mergeCell ref="AD30:AD31"/>
    <mergeCell ref="AE30:AE31"/>
    <mergeCell ref="AF30:AF31"/>
    <mergeCell ref="AG30:AG31"/>
    <mergeCell ref="AH30:AH31"/>
    <mergeCell ref="AI30:AI31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V30:V31"/>
    <mergeCell ref="W30:W31"/>
    <mergeCell ref="BW28:BW29"/>
    <mergeCell ref="F30:I31"/>
    <mergeCell ref="J30:J31"/>
    <mergeCell ref="K30:K31"/>
    <mergeCell ref="L30:L31"/>
    <mergeCell ref="M30:M31"/>
    <mergeCell ref="N30:N31"/>
    <mergeCell ref="O30:O31"/>
    <mergeCell ref="P30:P31"/>
    <mergeCell ref="Q30:Q31"/>
    <mergeCell ref="BQ28:BQ29"/>
    <mergeCell ref="BR28:BR29"/>
    <mergeCell ref="BS28:BS29"/>
    <mergeCell ref="BT28:BT29"/>
    <mergeCell ref="BU28:BU29"/>
    <mergeCell ref="BV28:BV29"/>
    <mergeCell ref="BK28:BK29"/>
    <mergeCell ref="BL28:BL29"/>
    <mergeCell ref="BM28:BM29"/>
    <mergeCell ref="BN28:BN29"/>
    <mergeCell ref="BO28:BO29"/>
    <mergeCell ref="BP28:BP29"/>
    <mergeCell ref="BE28:BE29"/>
    <mergeCell ref="BF28:BF29"/>
    <mergeCell ref="BG28:BG29"/>
    <mergeCell ref="BH28:BH29"/>
    <mergeCell ref="BI28:BI29"/>
    <mergeCell ref="BJ28:BJ29"/>
    <mergeCell ref="AY28:AY29"/>
    <mergeCell ref="AZ28:AZ29"/>
    <mergeCell ref="BA28:BA29"/>
    <mergeCell ref="BB28:BB29"/>
    <mergeCell ref="BC28:BC29"/>
    <mergeCell ref="BD28:BD29"/>
    <mergeCell ref="AS28:AS29"/>
    <mergeCell ref="AT28:AT29"/>
    <mergeCell ref="AU28:AU29"/>
    <mergeCell ref="AV28:AV29"/>
    <mergeCell ref="AW28:AW29"/>
    <mergeCell ref="AX28:AX29"/>
    <mergeCell ref="AM28:AM29"/>
    <mergeCell ref="AN28:AN29"/>
    <mergeCell ref="AO28:AO29"/>
    <mergeCell ref="AP28:AP29"/>
    <mergeCell ref="AQ28:AQ29"/>
    <mergeCell ref="AR28:AR29"/>
    <mergeCell ref="AG28:AG29"/>
    <mergeCell ref="AH28:AH29"/>
    <mergeCell ref="AI28:AI29"/>
    <mergeCell ref="AJ28:AJ29"/>
    <mergeCell ref="AK28:AK29"/>
    <mergeCell ref="AL28:AL29"/>
    <mergeCell ref="AA28:AA29"/>
    <mergeCell ref="AB28:AB29"/>
    <mergeCell ref="AC28:AC29"/>
    <mergeCell ref="AD28:AD29"/>
    <mergeCell ref="AE28:AE29"/>
    <mergeCell ref="AF28:AF29"/>
    <mergeCell ref="U28:U29"/>
    <mergeCell ref="V28:V29"/>
    <mergeCell ref="W28:W29"/>
    <mergeCell ref="X28:X29"/>
    <mergeCell ref="Y28:Y29"/>
    <mergeCell ref="Z28:Z29"/>
    <mergeCell ref="O28:O29"/>
    <mergeCell ref="P28:P29"/>
    <mergeCell ref="Q28:Q29"/>
    <mergeCell ref="R28:R29"/>
    <mergeCell ref="S28:S29"/>
    <mergeCell ref="T28:T29"/>
    <mergeCell ref="BS26:BS27"/>
    <mergeCell ref="BT26:BT27"/>
    <mergeCell ref="BU26:BU27"/>
    <mergeCell ref="BV26:BV27"/>
    <mergeCell ref="BW26:BW27"/>
    <mergeCell ref="AR26:AR27"/>
    <mergeCell ref="AS26:AS27"/>
    <mergeCell ref="AT26:AT27"/>
    <mergeCell ref="AI26:AI27"/>
    <mergeCell ref="AJ26:AJ27"/>
    <mergeCell ref="AK26:AK27"/>
    <mergeCell ref="AL26:AL27"/>
    <mergeCell ref="AM26:AM27"/>
    <mergeCell ref="AN26:AN27"/>
    <mergeCell ref="AC26:AC27"/>
    <mergeCell ref="AD26:AD27"/>
    <mergeCell ref="AE26:AE27"/>
    <mergeCell ref="AF26:AF27"/>
    <mergeCell ref="AG26:AG27"/>
    <mergeCell ref="AH26:AH27"/>
    <mergeCell ref="F28:I29"/>
    <mergeCell ref="K28:K29"/>
    <mergeCell ref="L28:L29"/>
    <mergeCell ref="M28:M29"/>
    <mergeCell ref="N28:N29"/>
    <mergeCell ref="BM26:BM27"/>
    <mergeCell ref="BN26:BN27"/>
    <mergeCell ref="BO26:BO27"/>
    <mergeCell ref="BP26:BP27"/>
    <mergeCell ref="BQ26:BQ27"/>
    <mergeCell ref="BR26:BR27"/>
    <mergeCell ref="BG26:BG27"/>
    <mergeCell ref="BH26:BH27"/>
    <mergeCell ref="BI26:BI27"/>
    <mergeCell ref="BJ26:BJ27"/>
    <mergeCell ref="BK26:BK27"/>
    <mergeCell ref="BL26:BL27"/>
    <mergeCell ref="BA26:BA27"/>
    <mergeCell ref="BB26:BB27"/>
    <mergeCell ref="BC26:BC27"/>
    <mergeCell ref="BD26:BD27"/>
    <mergeCell ref="BE26:BE27"/>
    <mergeCell ref="BF26:BF27"/>
    <mergeCell ref="AU26:AU27"/>
    <mergeCell ref="AV26:AV27"/>
    <mergeCell ref="AW26:AW27"/>
    <mergeCell ref="AX26:AX27"/>
    <mergeCell ref="AY26:AY27"/>
    <mergeCell ref="AZ26:AZ27"/>
    <mergeCell ref="AO26:AO27"/>
    <mergeCell ref="AP26:AP27"/>
    <mergeCell ref="AQ26:AQ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BV24:BV25"/>
    <mergeCell ref="BW24:BW25"/>
    <mergeCell ref="C26:E29"/>
    <mergeCell ref="F26:I27"/>
    <mergeCell ref="K26:K27"/>
    <mergeCell ref="L26:L27"/>
    <mergeCell ref="M26:M27"/>
    <mergeCell ref="N26:N27"/>
    <mergeCell ref="O26:O27"/>
    <mergeCell ref="P26:P27"/>
    <mergeCell ref="BP24:BP25"/>
    <mergeCell ref="BQ24:BQ25"/>
    <mergeCell ref="BR24:BR25"/>
    <mergeCell ref="BS24:BS25"/>
    <mergeCell ref="BT24:BT25"/>
    <mergeCell ref="BU24:BU25"/>
    <mergeCell ref="BJ24:BJ25"/>
    <mergeCell ref="BK24:BK25"/>
    <mergeCell ref="BL24:BL25"/>
    <mergeCell ref="BM24:BM25"/>
    <mergeCell ref="BN24:BN25"/>
    <mergeCell ref="BO24:BO25"/>
    <mergeCell ref="BD24:BD25"/>
    <mergeCell ref="BE24:BE25"/>
    <mergeCell ref="BF24:BF25"/>
    <mergeCell ref="BG24:BG25"/>
    <mergeCell ref="BH24:BH25"/>
    <mergeCell ref="BI24:BI25"/>
    <mergeCell ref="AX24:AX25"/>
    <mergeCell ref="AY24:AY25"/>
    <mergeCell ref="AZ24:AZ25"/>
    <mergeCell ref="BA24:BA25"/>
    <mergeCell ref="BB24:BB25"/>
    <mergeCell ref="BC24:BC25"/>
    <mergeCell ref="AR24:AR25"/>
    <mergeCell ref="AS24:AS25"/>
    <mergeCell ref="AT24:AT25"/>
    <mergeCell ref="AU24:AU25"/>
    <mergeCell ref="AV24:AV25"/>
    <mergeCell ref="AW24:AW25"/>
    <mergeCell ref="AL24:AL25"/>
    <mergeCell ref="AM24:AM25"/>
    <mergeCell ref="AN24:AN25"/>
    <mergeCell ref="AO24:AO25"/>
    <mergeCell ref="AP24:AP25"/>
    <mergeCell ref="AQ24:AQ25"/>
    <mergeCell ref="AF24:AF25"/>
    <mergeCell ref="AG24:AG25"/>
    <mergeCell ref="AH24:AH25"/>
    <mergeCell ref="AI24:AI25"/>
    <mergeCell ref="AJ24:AJ25"/>
    <mergeCell ref="AK24:AK25"/>
    <mergeCell ref="Z24:Z25"/>
    <mergeCell ref="AA24:AA25"/>
    <mergeCell ref="AB24:AB25"/>
    <mergeCell ref="AC24:AC25"/>
    <mergeCell ref="AD24:AD25"/>
    <mergeCell ref="AE24:AE25"/>
    <mergeCell ref="T24:T25"/>
    <mergeCell ref="U24:U25"/>
    <mergeCell ref="V24:V25"/>
    <mergeCell ref="W24:W25"/>
    <mergeCell ref="X24:X25"/>
    <mergeCell ref="Y24:Y25"/>
    <mergeCell ref="N24:N25"/>
    <mergeCell ref="O24:O25"/>
    <mergeCell ref="P24:P25"/>
    <mergeCell ref="Q24:Q25"/>
    <mergeCell ref="R24:R25"/>
    <mergeCell ref="S24:S25"/>
    <mergeCell ref="BS22:BS23"/>
    <mergeCell ref="BT22:BT23"/>
    <mergeCell ref="BU22:BU23"/>
    <mergeCell ref="BV22:BV23"/>
    <mergeCell ref="BW22:BW23"/>
    <mergeCell ref="AR22:AR23"/>
    <mergeCell ref="AS22:AS23"/>
    <mergeCell ref="AT22:AT23"/>
    <mergeCell ref="AI22:AI23"/>
    <mergeCell ref="AJ22:AJ23"/>
    <mergeCell ref="AK22:AK23"/>
    <mergeCell ref="AL22:AL23"/>
    <mergeCell ref="AM22:AM23"/>
    <mergeCell ref="AN22:AN23"/>
    <mergeCell ref="AC22:AC23"/>
    <mergeCell ref="AD22:AD23"/>
    <mergeCell ref="AE22:AE23"/>
    <mergeCell ref="AF22:AF23"/>
    <mergeCell ref="AG22:AG23"/>
    <mergeCell ref="AH22:AH23"/>
    <mergeCell ref="F24:I25"/>
    <mergeCell ref="J24:J25"/>
    <mergeCell ref="K24:K25"/>
    <mergeCell ref="L24:L25"/>
    <mergeCell ref="M24:M25"/>
    <mergeCell ref="BM22:BM23"/>
    <mergeCell ref="BN22:BN23"/>
    <mergeCell ref="BO22:BO23"/>
    <mergeCell ref="BP22:BP23"/>
    <mergeCell ref="BQ22:BQ23"/>
    <mergeCell ref="BR22:BR23"/>
    <mergeCell ref="BG22:BG23"/>
    <mergeCell ref="BH22:BH23"/>
    <mergeCell ref="BI22:BI23"/>
    <mergeCell ref="BJ22:BJ23"/>
    <mergeCell ref="BK22:BK23"/>
    <mergeCell ref="BL22:BL23"/>
    <mergeCell ref="BA22:BA23"/>
    <mergeCell ref="BB22:BB23"/>
    <mergeCell ref="BC22:BC23"/>
    <mergeCell ref="BD22:BD23"/>
    <mergeCell ref="BE22:BE23"/>
    <mergeCell ref="BF22:BF23"/>
    <mergeCell ref="AU22:AU23"/>
    <mergeCell ref="AV22:AV23"/>
    <mergeCell ref="AW22:AW23"/>
    <mergeCell ref="AX22:AX23"/>
    <mergeCell ref="AY22:AY23"/>
    <mergeCell ref="AZ22:AZ23"/>
    <mergeCell ref="AO22:AO23"/>
    <mergeCell ref="AP22:AP23"/>
    <mergeCell ref="AQ22:AQ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BU20:BU21"/>
    <mergeCell ref="BV20:BV21"/>
    <mergeCell ref="BW20:BW21"/>
    <mergeCell ref="F22:I23"/>
    <mergeCell ref="K22:K23"/>
    <mergeCell ref="L22:L23"/>
    <mergeCell ref="M22:M23"/>
    <mergeCell ref="N22:N23"/>
    <mergeCell ref="O22:O23"/>
    <mergeCell ref="P22:P23"/>
    <mergeCell ref="BO20:BO21"/>
    <mergeCell ref="BP20:BP21"/>
    <mergeCell ref="BQ20:BQ21"/>
    <mergeCell ref="BR20:BR21"/>
    <mergeCell ref="BS20:BS21"/>
    <mergeCell ref="BT20:BT21"/>
    <mergeCell ref="BI20:BI21"/>
    <mergeCell ref="BJ20:BJ21"/>
    <mergeCell ref="BK20:BK21"/>
    <mergeCell ref="BL20:BL21"/>
    <mergeCell ref="BM20:BM21"/>
    <mergeCell ref="BN20:BN21"/>
    <mergeCell ref="BC20:BC21"/>
    <mergeCell ref="BD20:BD21"/>
    <mergeCell ref="BE20:BE21"/>
    <mergeCell ref="BF20:BF21"/>
    <mergeCell ref="BG20:BG21"/>
    <mergeCell ref="BH20:BH21"/>
    <mergeCell ref="AW20:AW21"/>
    <mergeCell ref="AX20:AX21"/>
    <mergeCell ref="AY20:AY21"/>
    <mergeCell ref="AZ20:AZ21"/>
    <mergeCell ref="BA20:BA21"/>
    <mergeCell ref="BB20:BB21"/>
    <mergeCell ref="AQ20:AQ21"/>
    <mergeCell ref="AR20:AR21"/>
    <mergeCell ref="AS20:AS21"/>
    <mergeCell ref="AT20:AT21"/>
    <mergeCell ref="AU20:AU21"/>
    <mergeCell ref="AV20:AV21"/>
    <mergeCell ref="AK20:AK21"/>
    <mergeCell ref="AL20:AL21"/>
    <mergeCell ref="AM20:AM21"/>
    <mergeCell ref="AN20:AN21"/>
    <mergeCell ref="AO20:AO21"/>
    <mergeCell ref="AP20:AP21"/>
    <mergeCell ref="AE20:AE21"/>
    <mergeCell ref="AF20:AF21"/>
    <mergeCell ref="AG20:AG21"/>
    <mergeCell ref="AH20:AH21"/>
    <mergeCell ref="AI20:AI21"/>
    <mergeCell ref="AJ20:AJ21"/>
    <mergeCell ref="Y20:Y21"/>
    <mergeCell ref="Z20:Z21"/>
    <mergeCell ref="AA20:AA21"/>
    <mergeCell ref="AB20:AB21"/>
    <mergeCell ref="AC20:AC21"/>
    <mergeCell ref="AD20:AD21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BS18:BS19"/>
    <mergeCell ref="BT18:BT19"/>
    <mergeCell ref="BU18:BU19"/>
    <mergeCell ref="BV18:BV19"/>
    <mergeCell ref="BW18:BW19"/>
    <mergeCell ref="AR18:AR19"/>
    <mergeCell ref="AS18:AS19"/>
    <mergeCell ref="AT18:AT19"/>
    <mergeCell ref="AI18:AI19"/>
    <mergeCell ref="AJ18:AJ19"/>
    <mergeCell ref="AK18:AK19"/>
    <mergeCell ref="AL18:AL19"/>
    <mergeCell ref="AM18:AM19"/>
    <mergeCell ref="AN18:AN19"/>
    <mergeCell ref="AC18:AC19"/>
    <mergeCell ref="AD18:AD19"/>
    <mergeCell ref="AE18:AE19"/>
    <mergeCell ref="AF18:AF19"/>
    <mergeCell ref="AG18:AG19"/>
    <mergeCell ref="AH18:AH19"/>
    <mergeCell ref="B20:B35"/>
    <mergeCell ref="C20:E23"/>
    <mergeCell ref="F20:I21"/>
    <mergeCell ref="K20:K21"/>
    <mergeCell ref="L20:L21"/>
    <mergeCell ref="BM18:BM19"/>
    <mergeCell ref="BN18:BN19"/>
    <mergeCell ref="BO18:BO19"/>
    <mergeCell ref="BP18:BP19"/>
    <mergeCell ref="BQ18:BQ19"/>
    <mergeCell ref="BR18:BR19"/>
    <mergeCell ref="BG18:BG19"/>
    <mergeCell ref="BH18:BH19"/>
    <mergeCell ref="BI18:BI19"/>
    <mergeCell ref="BJ18:BJ19"/>
    <mergeCell ref="BK18:BK19"/>
    <mergeCell ref="BL18:BL19"/>
    <mergeCell ref="BA18:BA19"/>
    <mergeCell ref="BB18:BB19"/>
    <mergeCell ref="BC18:BC19"/>
    <mergeCell ref="BD18:BD19"/>
    <mergeCell ref="BE18:BE19"/>
    <mergeCell ref="BF18:BF19"/>
    <mergeCell ref="AU18:AU19"/>
    <mergeCell ref="AV18:AV19"/>
    <mergeCell ref="AW18:AW19"/>
    <mergeCell ref="AX18:AX19"/>
    <mergeCell ref="AY18:AY19"/>
    <mergeCell ref="AZ18:AZ19"/>
    <mergeCell ref="AO18:AO19"/>
    <mergeCell ref="AP18:AP19"/>
    <mergeCell ref="AQ18:AQ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BU16:BU17"/>
    <mergeCell ref="BV16:BV17"/>
    <mergeCell ref="BW16:BW17"/>
    <mergeCell ref="C18:I19"/>
    <mergeCell ref="K18:K19"/>
    <mergeCell ref="L18:L19"/>
    <mergeCell ref="M18:M19"/>
    <mergeCell ref="N18:N19"/>
    <mergeCell ref="O18:O19"/>
    <mergeCell ref="P18:P19"/>
    <mergeCell ref="BO16:BO17"/>
    <mergeCell ref="BP16:BP17"/>
    <mergeCell ref="BQ16:BQ17"/>
    <mergeCell ref="BR16:BR17"/>
    <mergeCell ref="BS16:BS17"/>
    <mergeCell ref="BT16:BT17"/>
    <mergeCell ref="BI16:BI17"/>
    <mergeCell ref="BJ16:BJ17"/>
    <mergeCell ref="BK16:BK17"/>
    <mergeCell ref="BL16:BL17"/>
    <mergeCell ref="BM16:BM17"/>
    <mergeCell ref="BN16:BN17"/>
    <mergeCell ref="BC16:BC17"/>
    <mergeCell ref="BD16:BD17"/>
    <mergeCell ref="BE16:BE17"/>
    <mergeCell ref="BF16:BF17"/>
    <mergeCell ref="BG16:BG17"/>
    <mergeCell ref="BH16:BH17"/>
    <mergeCell ref="AW16:AW17"/>
    <mergeCell ref="AX16:AX17"/>
    <mergeCell ref="AY16:AY17"/>
    <mergeCell ref="AZ16:AZ17"/>
    <mergeCell ref="BA16:BA17"/>
    <mergeCell ref="BB16:BB17"/>
    <mergeCell ref="AQ16:AQ17"/>
    <mergeCell ref="AR16:AR17"/>
    <mergeCell ref="AS16:AS17"/>
    <mergeCell ref="AT16:AT17"/>
    <mergeCell ref="AU16:AU17"/>
    <mergeCell ref="AV16:AV17"/>
    <mergeCell ref="AK16:AK17"/>
    <mergeCell ref="AL16:AL17"/>
    <mergeCell ref="AM16:AM17"/>
    <mergeCell ref="AN16:AN17"/>
    <mergeCell ref="AO16:AO17"/>
    <mergeCell ref="AP16:AP17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S16:S17"/>
    <mergeCell ref="T16:T17"/>
    <mergeCell ref="U16:U17"/>
    <mergeCell ref="V16:V17"/>
    <mergeCell ref="W16:W17"/>
    <mergeCell ref="X16:X17"/>
    <mergeCell ref="BW14:BW15"/>
    <mergeCell ref="F16:I17"/>
    <mergeCell ref="K16:K17"/>
    <mergeCell ref="L16:L17"/>
    <mergeCell ref="M16:M17"/>
    <mergeCell ref="N16:N17"/>
    <mergeCell ref="O16:O17"/>
    <mergeCell ref="P16:P17"/>
    <mergeCell ref="Q16:Q17"/>
    <mergeCell ref="R16:R17"/>
    <mergeCell ref="BQ14:BQ15"/>
    <mergeCell ref="BR14:BR15"/>
    <mergeCell ref="BS14:BS15"/>
    <mergeCell ref="BT14:BT15"/>
    <mergeCell ref="BU14:BU15"/>
    <mergeCell ref="BV14:BV15"/>
    <mergeCell ref="BK14:BK15"/>
    <mergeCell ref="BL14:BL15"/>
    <mergeCell ref="BM14:BM15"/>
    <mergeCell ref="BN14:BN15"/>
    <mergeCell ref="BO14:BO15"/>
    <mergeCell ref="BP14:BP15"/>
    <mergeCell ref="BE14:BE15"/>
    <mergeCell ref="BF14:BF15"/>
    <mergeCell ref="BG14:BG15"/>
    <mergeCell ref="BH14:BH15"/>
    <mergeCell ref="BI14:BI15"/>
    <mergeCell ref="BJ14:BJ15"/>
    <mergeCell ref="AY14:AY15"/>
    <mergeCell ref="AZ14:AZ15"/>
    <mergeCell ref="BA14:BA15"/>
    <mergeCell ref="BB14:BB15"/>
    <mergeCell ref="BC14:BC15"/>
    <mergeCell ref="BD14:BD15"/>
    <mergeCell ref="AS14:AS15"/>
    <mergeCell ref="AT14:AT15"/>
    <mergeCell ref="AU14:AU15"/>
    <mergeCell ref="AV14:AV15"/>
    <mergeCell ref="AW14:AW15"/>
    <mergeCell ref="AX14:AX15"/>
    <mergeCell ref="AM14:AM15"/>
    <mergeCell ref="AN14:AN15"/>
    <mergeCell ref="AO14:AO15"/>
    <mergeCell ref="AP14:AP15"/>
    <mergeCell ref="AQ14:AQ15"/>
    <mergeCell ref="AR14:AR15"/>
    <mergeCell ref="AG14:AG15"/>
    <mergeCell ref="AH14:AH15"/>
    <mergeCell ref="AI14:AI15"/>
    <mergeCell ref="AJ14:AJ15"/>
    <mergeCell ref="AK14:AK15"/>
    <mergeCell ref="AL14:AL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O14:O15"/>
    <mergeCell ref="P14:P15"/>
    <mergeCell ref="Q14:Q15"/>
    <mergeCell ref="R14:R15"/>
    <mergeCell ref="S14:S15"/>
    <mergeCell ref="T14:T15"/>
    <mergeCell ref="BS12:BS13"/>
    <mergeCell ref="BT12:BT13"/>
    <mergeCell ref="BU12:BU13"/>
    <mergeCell ref="BV12:BV13"/>
    <mergeCell ref="BW12:BW13"/>
    <mergeCell ref="F14:I15"/>
    <mergeCell ref="K14:K15"/>
    <mergeCell ref="L14:L15"/>
    <mergeCell ref="M14:M15"/>
    <mergeCell ref="N14:N15"/>
    <mergeCell ref="BM12:BM13"/>
    <mergeCell ref="BN12:BN13"/>
    <mergeCell ref="BO12:BO13"/>
    <mergeCell ref="BP12:BP13"/>
    <mergeCell ref="BQ12:BQ13"/>
    <mergeCell ref="BR12:BR13"/>
    <mergeCell ref="BG12:BG13"/>
    <mergeCell ref="BH12:BH13"/>
    <mergeCell ref="BI12:BI13"/>
    <mergeCell ref="BJ12:BJ13"/>
    <mergeCell ref="BK12:BK13"/>
    <mergeCell ref="BL12:BL13"/>
    <mergeCell ref="BA12:BA13"/>
    <mergeCell ref="BB12:BB13"/>
    <mergeCell ref="BC12:BC13"/>
    <mergeCell ref="BD12:BD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BE12:BE13"/>
    <mergeCell ref="BF12:BF13"/>
    <mergeCell ref="AU12:AU13"/>
    <mergeCell ref="AV12:AV13"/>
    <mergeCell ref="AW12:AW13"/>
    <mergeCell ref="AX12:AX13"/>
    <mergeCell ref="AY12:AY13"/>
    <mergeCell ref="AZ12:AZ13"/>
    <mergeCell ref="AO12:AO13"/>
    <mergeCell ref="AP12:AP13"/>
    <mergeCell ref="AQ12:AQ13"/>
    <mergeCell ref="AR12:AR13"/>
    <mergeCell ref="AS12:AS13"/>
    <mergeCell ref="AT12:AT13"/>
    <mergeCell ref="AI12:AI13"/>
    <mergeCell ref="AJ12:AJ13"/>
    <mergeCell ref="AK12:AK13"/>
    <mergeCell ref="AL12:AL13"/>
    <mergeCell ref="AM12:AM13"/>
    <mergeCell ref="AN12:AN13"/>
    <mergeCell ref="BS10:BW10"/>
    <mergeCell ref="B12:B19"/>
    <mergeCell ref="C12:E15"/>
    <mergeCell ref="F12:I13"/>
    <mergeCell ref="K12:K13"/>
    <mergeCell ref="L12:L13"/>
    <mergeCell ref="M12:M13"/>
    <mergeCell ref="N12:N13"/>
    <mergeCell ref="O12:O13"/>
    <mergeCell ref="P12:P13"/>
    <mergeCell ref="AO10:AS10"/>
    <mergeCell ref="AT10:AX10"/>
    <mergeCell ref="AY10:BC10"/>
    <mergeCell ref="BD10:BH10"/>
    <mergeCell ref="BI10:BM10"/>
    <mergeCell ref="BN10:BR10"/>
    <mergeCell ref="BT4:BV4"/>
    <mergeCell ref="BT5:BV5"/>
    <mergeCell ref="BT6:BV6"/>
    <mergeCell ref="BT7:BV7"/>
    <mergeCell ref="K10:O10"/>
    <mergeCell ref="P10:T10"/>
    <mergeCell ref="U10:Y10"/>
    <mergeCell ref="Z10:AD10"/>
    <mergeCell ref="AE10:AI10"/>
    <mergeCell ref="AJ10:AN10"/>
    <mergeCell ref="AC12:AC13"/>
    <mergeCell ref="AD12:AD13"/>
    <mergeCell ref="AE12:AE13"/>
    <mergeCell ref="AF12:AF13"/>
    <mergeCell ref="AG12:AG13"/>
    <mergeCell ref="AH12:AH13"/>
  </mergeCells>
  <phoneticPr fontId="3"/>
  <conditionalFormatting sqref="K48:BW49">
    <cfRule type="expression" dxfId="1" priority="2">
      <formula>K48&lt;&gt;K64</formula>
    </cfRule>
  </conditionalFormatting>
  <conditionalFormatting sqref="K64:BW65">
    <cfRule type="expression" dxfId="0" priority="1">
      <formula>K64&lt;&gt;K48</formula>
    </cfRule>
  </conditionalFormatting>
  <pageMargins left="0.70866141732283472" right="0.70866141732283472" top="0.74803149606299213" bottom="0.74803149606299213" header="0.31496062992125984" footer="0.31496062992125984"/>
  <pageSetup paperSize="9" scale="2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月報</vt:lpstr>
      <vt:lpstr>期報</vt:lpstr>
      <vt:lpstr>年報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AS2010406</dc:creator>
  <cp:lastModifiedBy>AS1610404</cp:lastModifiedBy>
  <cp:lastPrinted>2022-08-31T06:59:17Z</cp:lastPrinted>
  <dcterms:created xsi:type="dcterms:W3CDTF">2022-08-29T02:46:43Z</dcterms:created>
  <dcterms:modified xsi:type="dcterms:W3CDTF">2023-01-06T10:20:27Z</dcterms:modified>
</cp:coreProperties>
</file>